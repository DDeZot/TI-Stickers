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Исходная информация" sheetId="1" r:id="rId1"/>
    <sheet name="Первые 24" sheetId="2" r:id="rId2"/>
    <sheet name="BUG" sheetId="6" r:id="rId3"/>
  </sheets>
  <definedNames>
    <definedName name="_xlnm.Print_Area" localSheetId="2">BUG!$A$1:$E$48</definedName>
    <definedName name="_xlnm.Print_Area" localSheetId="1">'Первые 24'!$A$1:$E$48</definedName>
  </definedNames>
  <calcPr calcId="14562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F38" i="1"/>
  <c r="F39" i="1"/>
  <c r="F40" i="1"/>
  <c r="F41" i="1"/>
  <c r="F42" i="1"/>
  <c r="F43" i="1"/>
  <c r="F44" i="1"/>
  <c r="F45" i="1"/>
  <c r="F46" i="1"/>
  <c r="F47" i="1"/>
  <c r="F48" i="1"/>
  <c r="F49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9" i="1" l="1"/>
  <c r="F10" i="1"/>
  <c r="F11" i="1"/>
  <c r="I3" i="1"/>
  <c r="I4" i="1"/>
  <c r="I5" i="1"/>
  <c r="I6" i="1"/>
  <c r="I7" i="1"/>
  <c r="I8" i="1"/>
  <c r="I9" i="1"/>
  <c r="I10" i="1"/>
  <c r="I11" i="1"/>
  <c r="I2" i="1"/>
  <c r="F3" i="1" l="1"/>
  <c r="F4" i="1"/>
  <c r="F5" i="1"/>
  <c r="F6" i="1"/>
  <c r="F7" i="1"/>
  <c r="F8" i="1"/>
  <c r="N5" i="1" l="1"/>
  <c r="C35" i="6"/>
  <c r="C39" i="6"/>
  <c r="A20" i="6"/>
  <c r="A20" i="2"/>
  <c r="A32" i="2"/>
  <c r="C29" i="6"/>
  <c r="E22" i="2"/>
  <c r="A43" i="2"/>
  <c r="A26" i="2"/>
  <c r="C19" i="6"/>
  <c r="A14" i="6"/>
  <c r="A13" i="6"/>
  <c r="A19" i="2"/>
  <c r="C18" i="2"/>
  <c r="A10" i="2"/>
  <c r="E44" i="2"/>
  <c r="C34" i="2"/>
  <c r="A31" i="2"/>
  <c r="A19" i="6"/>
  <c r="E48" i="2"/>
  <c r="E45" i="2"/>
  <c r="C38" i="6"/>
  <c r="A33" i="6"/>
  <c r="A34" i="6"/>
  <c r="E46" i="2"/>
  <c r="A14" i="2"/>
  <c r="A13" i="2"/>
  <c r="C43" i="6"/>
  <c r="A9" i="2"/>
  <c r="A12" i="2"/>
  <c r="C7" i="2"/>
  <c r="C37" i="2"/>
  <c r="C20" i="2"/>
  <c r="E12" i="2"/>
  <c r="C27" i="6"/>
  <c r="C2" i="6"/>
  <c r="A23" i="6"/>
  <c r="E32" i="2"/>
  <c r="E9" i="2"/>
  <c r="C40" i="6"/>
  <c r="A22" i="6"/>
  <c r="A21" i="6"/>
  <c r="C12" i="2"/>
  <c r="C26" i="6"/>
  <c r="C30" i="6"/>
  <c r="A28" i="6"/>
  <c r="A18" i="2"/>
  <c r="A26" i="6"/>
  <c r="C16" i="6"/>
  <c r="A47" i="6"/>
  <c r="A11" i="6"/>
  <c r="C47" i="6"/>
  <c r="C40" i="2"/>
  <c r="E42" i="2"/>
  <c r="C17" i="6"/>
  <c r="C14" i="6"/>
  <c r="C26" i="2"/>
  <c r="E3" i="6"/>
  <c r="A37" i="2"/>
  <c r="C23" i="6"/>
  <c r="E27" i="2"/>
  <c r="C10" i="6"/>
  <c r="C38" i="2"/>
  <c r="A25" i="2"/>
  <c r="E35" i="2"/>
  <c r="A30" i="2"/>
  <c r="A7" i="6"/>
  <c r="A39" i="2"/>
  <c r="C36" i="2"/>
  <c r="C31" i="2"/>
  <c r="C11" i="6"/>
  <c r="C48" i="2"/>
  <c r="C5" i="6"/>
  <c r="C21" i="2"/>
  <c r="A27" i="6"/>
  <c r="C43" i="2"/>
  <c r="C48" i="6"/>
  <c r="C30" i="2"/>
  <c r="E29" i="2"/>
  <c r="A33" i="2"/>
  <c r="E34" i="2"/>
  <c r="C25" i="2"/>
  <c r="C46" i="6"/>
  <c r="A21" i="2"/>
  <c r="A40" i="6"/>
  <c r="E10" i="2"/>
  <c r="A41" i="6"/>
  <c r="C9" i="6"/>
  <c r="A44" i="6"/>
  <c r="C9" i="2"/>
  <c r="C19" i="2"/>
  <c r="E5" i="6"/>
  <c r="A5" i="6"/>
  <c r="E39" i="2"/>
  <c r="E2" i="6"/>
  <c r="A42" i="6"/>
  <c r="E1" i="6"/>
  <c r="A31" i="6"/>
  <c r="E14" i="2"/>
  <c r="A45" i="6"/>
  <c r="A32" i="6"/>
  <c r="A12" i="6"/>
  <c r="A39" i="6"/>
  <c r="C20" i="6"/>
  <c r="A10" i="6"/>
  <c r="A9" i="6"/>
  <c r="C12" i="6"/>
  <c r="C24" i="6"/>
  <c r="C15" i="6"/>
  <c r="E43" i="2"/>
  <c r="A36" i="2"/>
  <c r="A48" i="2"/>
  <c r="C45" i="6"/>
  <c r="E47" i="2"/>
  <c r="C10" i="2"/>
  <c r="C24" i="2"/>
  <c r="C32" i="6"/>
  <c r="C42" i="2"/>
  <c r="A22" i="2"/>
  <c r="A42" i="2"/>
  <c r="A34" i="2"/>
  <c r="C36" i="6"/>
  <c r="C45" i="2"/>
  <c r="A24" i="2"/>
  <c r="A44" i="2"/>
  <c r="A15" i="6"/>
  <c r="E37" i="2"/>
  <c r="E38" i="2"/>
  <c r="C8" i="6"/>
  <c r="C37" i="6"/>
  <c r="C41" i="6"/>
  <c r="A8" i="6"/>
  <c r="E16" i="2"/>
  <c r="E18" i="2"/>
  <c r="E4" i="6"/>
  <c r="E26" i="2"/>
  <c r="E7" i="2"/>
  <c r="C44" i="6"/>
  <c r="C31" i="6"/>
  <c r="C27" i="2"/>
  <c r="C13" i="2"/>
  <c r="A8" i="2"/>
  <c r="A28" i="2"/>
  <c r="E15" i="2"/>
  <c r="C39" i="2"/>
  <c r="C22" i="2"/>
  <c r="C33" i="6"/>
  <c r="A18" i="6"/>
  <c r="A17" i="6"/>
  <c r="E6" i="6"/>
  <c r="E36" i="2"/>
  <c r="A46" i="2"/>
  <c r="C28" i="6"/>
  <c r="E19" i="2"/>
  <c r="A30" i="6"/>
  <c r="C46" i="2"/>
  <c r="A36" i="6"/>
  <c r="E41" i="2"/>
  <c r="C4" i="6"/>
  <c r="E25" i="2"/>
  <c r="C15" i="2"/>
  <c r="A16" i="2"/>
  <c r="C7" i="6"/>
  <c r="C21" i="6"/>
  <c r="A38" i="2"/>
  <c r="A43" i="6"/>
  <c r="A40" i="2"/>
  <c r="A48" i="6"/>
  <c r="E21" i="2"/>
  <c r="C44" i="2"/>
  <c r="A25" i="6"/>
  <c r="C14" i="2"/>
  <c r="C16" i="2"/>
  <c r="A45" i="2"/>
  <c r="C18" i="6"/>
  <c r="E40" i="2"/>
  <c r="E31" i="2"/>
  <c r="C8" i="2"/>
  <c r="C22" i="6"/>
  <c r="C28" i="2"/>
  <c r="A29" i="6"/>
  <c r="C13" i="6"/>
  <c r="A27" i="2"/>
  <c r="A35" i="6"/>
  <c r="E20" i="2"/>
  <c r="C42" i="6"/>
  <c r="A24" i="6"/>
  <c r="C3" i="6"/>
  <c r="E13" i="2"/>
  <c r="C25" i="6"/>
  <c r="A37" i="6"/>
  <c r="E24" i="2"/>
  <c r="C6" i="6"/>
  <c r="E28" i="2"/>
  <c r="A15" i="2"/>
  <c r="A46" i="6"/>
  <c r="A5" i="2"/>
  <c r="A16" i="6"/>
  <c r="E30" i="2"/>
  <c r="A38" i="6"/>
  <c r="E8" i="2"/>
  <c r="C1" i="2"/>
  <c r="C33" i="2"/>
  <c r="C1" i="6"/>
  <c r="C32" i="2"/>
  <c r="C34" i="6"/>
  <c r="E33" i="2"/>
  <c r="A7" i="2"/>
  <c r="N4" i="1" l="1"/>
  <c r="E15" i="6"/>
  <c r="E26" i="6"/>
  <c r="E34" i="6"/>
  <c r="A6" i="6"/>
  <c r="E25" i="6"/>
  <c r="E20" i="6"/>
  <c r="E36" i="6"/>
  <c r="E44" i="6"/>
  <c r="E38" i="6"/>
  <c r="E21" i="6"/>
  <c r="E17" i="6"/>
  <c r="E7" i="6"/>
  <c r="E29" i="6"/>
  <c r="E40" i="6"/>
  <c r="A3" i="6"/>
  <c r="E28" i="6"/>
  <c r="E11" i="6"/>
  <c r="E13" i="6"/>
  <c r="A1" i="6"/>
  <c r="E10" i="6"/>
  <c r="E27" i="6"/>
  <c r="E24" i="6"/>
  <c r="E30" i="6"/>
  <c r="E31" i="6"/>
  <c r="E14" i="6"/>
  <c r="E9" i="6"/>
  <c r="E39" i="6"/>
  <c r="E47" i="6"/>
  <c r="E46" i="6"/>
  <c r="E45" i="6"/>
  <c r="E33" i="6"/>
  <c r="E23" i="6"/>
  <c r="E18" i="6"/>
  <c r="E32" i="6"/>
  <c r="E43" i="6"/>
  <c r="E48" i="6"/>
  <c r="E37" i="6"/>
  <c r="A4" i="6"/>
  <c r="E35" i="6"/>
  <c r="E42" i="6"/>
  <c r="E41" i="6"/>
  <c r="E12" i="6"/>
  <c r="E22" i="6"/>
  <c r="E8" i="6"/>
  <c r="A2" i="6"/>
  <c r="E19" i="6"/>
  <c r="E16" i="6"/>
  <c r="N3" i="1" l="1"/>
  <c r="F2" i="1"/>
  <c r="A29" i="2"/>
  <c r="E17" i="2"/>
  <c r="A1" i="2"/>
  <c r="C47" i="2"/>
  <c r="C3" i="2"/>
  <c r="C17" i="2"/>
  <c r="A35" i="2"/>
  <c r="E3" i="2"/>
  <c r="E4" i="2"/>
  <c r="C4" i="2"/>
  <c r="A4" i="2"/>
  <c r="A3" i="2"/>
  <c r="A17" i="2"/>
  <c r="A6" i="2"/>
  <c r="C29" i="2"/>
  <c r="E11" i="2"/>
  <c r="A23" i="2"/>
  <c r="C41" i="2"/>
  <c r="E23" i="2"/>
  <c r="C23" i="2"/>
  <c r="A47" i="2"/>
  <c r="C11" i="2"/>
  <c r="A11" i="2"/>
  <c r="C6" i="2"/>
  <c r="E6" i="2"/>
  <c r="C2" i="2"/>
  <c r="E2" i="2"/>
  <c r="C35" i="2"/>
  <c r="E1" i="2"/>
  <c r="A2" i="2"/>
  <c r="E5" i="2"/>
  <c r="C5" i="2"/>
  <c r="A41" i="2"/>
</calcChain>
</file>

<file path=xl/sharedStrings.xml><?xml version="1.0" encoding="utf-8"?>
<sst xmlns="http://schemas.openxmlformats.org/spreadsheetml/2006/main" count="251" uniqueCount="88">
  <si>
    <t>Наименование оборудования</t>
  </si>
  <si>
    <t>Инвентарный номер</t>
  </si>
  <si>
    <t>График ТО</t>
  </si>
  <si>
    <t>Периодичность ТО</t>
  </si>
  <si>
    <t>Инженер</t>
  </si>
  <si>
    <t>Год сейчас</t>
  </si>
  <si>
    <t>Год следующий</t>
  </si>
  <si>
    <t>Опции</t>
  </si>
  <si>
    <t>Offset</t>
  </si>
  <si>
    <t>Offset 2</t>
  </si>
  <si>
    <t>Offset 3</t>
  </si>
  <si>
    <t>#</t>
  </si>
  <si>
    <t>Месяц следующее ТО</t>
  </si>
  <si>
    <t>Offset 4</t>
  </si>
  <si>
    <t>Тангиров А.Р.</t>
  </si>
  <si>
    <t>Октябрь</t>
  </si>
  <si>
    <t>1 год</t>
  </si>
  <si>
    <t>Центрифуга  Rotofix32</t>
  </si>
  <si>
    <t>Монитор  глубины наркоза и седации              А-2000XP на основе биспектрального ЭЭГ-индекса (BIS)</t>
  </si>
  <si>
    <t>аппарат для быстрого размораживания плазмы</t>
  </si>
  <si>
    <t>монитор для определения сердечного выброса неинвазивным методом  NIKO</t>
  </si>
  <si>
    <t>монитор для определения сердечного выброса неинвазивным методом  NIСO</t>
  </si>
  <si>
    <t>аппарат для подогрева крови</t>
  </si>
  <si>
    <t>аппарат  искусственной вентиляции легких высокочастотный струйный ИВЛ-ВЧ/100 «ЗисЛайн»</t>
  </si>
  <si>
    <t>монитор пациента Vista русифицированный</t>
  </si>
  <si>
    <t>система для обогрева пациента WarmTouch</t>
  </si>
  <si>
    <t>устройство для обогрева пациента</t>
  </si>
  <si>
    <t>Размораживатель плазмы ЭРП-4-01</t>
  </si>
  <si>
    <t>Размораживатель плазмы крови ЭРП-4-01</t>
  </si>
  <si>
    <t>Перемешиватель тромбоцитов на 15 доз PF 15h</t>
  </si>
  <si>
    <t>Инкубатор для одного перемешивателя тромбоцитов на 15 доз РС 1</t>
  </si>
  <si>
    <t>Прибор поиска нервных сплетений при регионарной анестезии MultiStimSwitch</t>
  </si>
  <si>
    <t>000410124.04.80191116</t>
  </si>
  <si>
    <t>000410124.04.80191242</t>
  </si>
  <si>
    <t>000410124.04.80191243</t>
  </si>
  <si>
    <t>000410124.04.80191753</t>
  </si>
  <si>
    <t>000410124.04.80191668</t>
  </si>
  <si>
    <t>000410124.04.80191898</t>
  </si>
  <si>
    <t>000410124.04.80191755</t>
  </si>
  <si>
    <t>000410124.04.80191717</t>
  </si>
  <si>
    <t>000410124.04.80191758</t>
  </si>
  <si>
    <t>000410124.04.5813</t>
  </si>
  <si>
    <t>000410124.04.5815</t>
  </si>
  <si>
    <t>000410124.04.80191735</t>
  </si>
  <si>
    <t>000410124.04.80191736</t>
  </si>
  <si>
    <t>000410124.04.80191544</t>
  </si>
  <si>
    <t>00410124.04.80191120</t>
  </si>
  <si>
    <t>00410124.04.80191079</t>
  </si>
  <si>
    <t>монитор мультипараметрический</t>
  </si>
  <si>
    <t>монитор мультипараметрический анестезиолога IntelliVueMP40</t>
  </si>
  <si>
    <t xml:space="preserve"> Монитор  глубины наркоза и седации А-2000 ХР с системой измерения биспектрального индекса (Вis )</t>
  </si>
  <si>
    <t>Монитор  глубины наркоза и седации А-2000 ХР с системой измерения биспектрального индекса (Вis )</t>
  </si>
  <si>
    <t>аппарат реинфузии  крови  AUTOLOG</t>
  </si>
  <si>
    <t>дефибриллятор-монитор + пейсмейкер + пульсоксиметрияHeartStartXL</t>
  </si>
  <si>
    <t>дефибриллятор-монитор +карта+принадлежностиHeartStartXL</t>
  </si>
  <si>
    <t>004410124.04.101</t>
  </si>
  <si>
    <t>004410124.04.102</t>
  </si>
  <si>
    <t>004410124.04.110</t>
  </si>
  <si>
    <t>004410124.04.111</t>
  </si>
  <si>
    <t>004410124.04.112</t>
  </si>
  <si>
    <t>004410124.04.113</t>
  </si>
  <si>
    <t>004410124.04.114</t>
  </si>
  <si>
    <t>004410124.04.115</t>
  </si>
  <si>
    <t>004410124.04.116</t>
  </si>
  <si>
    <t>004410124.04.117</t>
  </si>
  <si>
    <t>004410124.04.118</t>
  </si>
  <si>
    <t>004410124.04.119</t>
  </si>
  <si>
    <t>001410124.04.80192698</t>
  </si>
  <si>
    <t>001410124.04.80192699</t>
  </si>
  <si>
    <t>001410124.04.80191650</t>
  </si>
  <si>
    <t>001410124.04.80191651</t>
  </si>
  <si>
    <t>001410124.04.80191640</t>
  </si>
  <si>
    <t>дефибриллятор-монитор + пейсмейкерHeartStartXL</t>
  </si>
  <si>
    <t>дефибриллятор  бифазныйHeartStartXL</t>
  </si>
  <si>
    <t>001410124.04.80191641</t>
  </si>
  <si>
    <t>001410124.04.80191642</t>
  </si>
  <si>
    <t>001410124.04.80191643</t>
  </si>
  <si>
    <t>001410124.04.80191652</t>
  </si>
  <si>
    <t>001410124.04.80191645</t>
  </si>
  <si>
    <t>001410124.04.80191647</t>
  </si>
  <si>
    <t>001410124.04.80191648</t>
  </si>
  <si>
    <t>001410124.04.80191649</t>
  </si>
  <si>
    <t>001410124.04.80192626</t>
  </si>
  <si>
    <t>001410124.04.80191637</t>
  </si>
  <si>
    <t>001410124.04.80191638</t>
  </si>
  <si>
    <t>001410124.04.80191639</t>
  </si>
  <si>
    <t>Костерин М.И.</t>
  </si>
  <si>
    <t>Игнатов А.Е.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</si>
</sst>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7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0" xfId="0" applyAlignment="1"/>
    <xf numFmtId="0" fontId="0" fillId="0" borderId="0" xfId="0" applyAlignment="1">
      <alignment vertical="top"/>
    </xf>
    <xf numFmtId="0" fontId="3" fillId="0" borderId="0" xfId="0" applyFont="1" applyBorder="1" applyAlignment="1">
      <alignment wrapText="1"/>
    </xf>
    <xf numFmtId="0" fontId="0" fillId="0" borderId="0" xfId="0" applyBorder="1" applyAlignment="1"/>
    <xf numFmtId="0" fontId="3" fillId="0" borderId="0" xfId="0" applyFont="1" applyBorder="1" applyAlignment="1">
      <alignment vertical="center"/>
    </xf>
    <xf numFmtId="0" fontId="0" fillId="0" borderId="0" xfId="0" applyBorder="1"/>
    <xf numFmtId="0" fontId="3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4" fillId="0" borderId="0" xfId="0" applyFont="1" applyBorder="1"/>
    <xf numFmtId="0" fontId="4" fillId="0" borderId="0" xfId="0" applyFont="1"/>
    <xf numFmtId="0" fontId="0" fillId="2" borderId="1" xfId="0" applyFont="1" applyFill="1" applyBorder="1"/>
    <xf numFmtId="0" fontId="0" fillId="0" borderId="2" xfId="0" applyFont="1" applyBorder="1"/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top"/>
    </xf>
    <xf numFmtId="0" fontId="6" fillId="0" borderId="0" xfId="0" applyFont="1" applyBorder="1" applyAlignment="1"/>
    <xf numFmtId="0" fontId="6" fillId="0" borderId="0" xfId="0" applyFont="1" applyBorder="1"/>
    <xf numFmtId="0" fontId="6" fillId="0" borderId="0" xfId="0" applyFont="1" applyBorder="1" applyAlignment="1">
      <alignment vertical="top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2" xfId="0" applyFont="1" applyBorder="1"/>
    <xf numFmtId="0" fontId="1" fillId="2" borderId="2" xfId="0" applyFont="1" applyFill="1" applyBorder="1"/>
    <xf numFmtId="0" fontId="1" fillId="0" borderId="6" xfId="0" applyFont="1" applyBorder="1"/>
    <xf numFmtId="0" fontId="1" fillId="0" borderId="7" xfId="0" applyFont="1" applyBorder="1"/>
  </cellXfs>
  <cellStyles count="1">
    <cellStyle name="Обычный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A1:I50" totalsRowShown="0" headerRowDxfId="1">
  <autoFilter ref="A1:I50"/>
  <tableColumns count="9">
    <tableColumn id="1" name="Наименование оборудования"/>
    <tableColumn id="2" name="Инвентарный номер"/>
    <tableColumn id="3" name="Периодичность ТО"/>
    <tableColumn id="4" name="График ТО"/>
    <tableColumn id="5" name="Год сейчас"/>
    <tableColumn id="6" name="Год следующий"/>
    <tableColumn id="7" name="Инженер" dataDxfId="0"/>
    <tableColumn id="8" name="#"/>
    <tableColumn id="9" name="Месяц следующее Т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opLeftCell="A19" zoomScaleNormal="100" workbookViewId="0">
      <selection activeCell="G2" sqref="G2"/>
    </sheetView>
  </sheetViews>
  <sheetFormatPr defaultRowHeight="15" x14ac:dyDescent="0.25"/>
  <cols>
    <col min="1" max="1" width="50.28515625" customWidth="1"/>
    <col min="2" max="2" width="49.42578125" customWidth="1"/>
    <col min="3" max="3" width="33.7109375" customWidth="1"/>
    <col min="4" max="4" width="21.7109375" customWidth="1"/>
    <col min="5" max="5" width="21.85546875" customWidth="1"/>
    <col min="6" max="6" width="17.5703125" customWidth="1"/>
    <col min="7" max="7" width="15.85546875" customWidth="1"/>
    <col min="8" max="8" width="23.7109375" customWidth="1"/>
    <col min="9" max="9" width="23.42578125" customWidth="1"/>
  </cols>
  <sheetData>
    <row r="1" spans="1:14" ht="15.75" thickBot="1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5</v>
      </c>
      <c r="F1" s="1" t="s">
        <v>6</v>
      </c>
      <c r="G1" s="1" t="s">
        <v>4</v>
      </c>
      <c r="H1" s="1" t="s">
        <v>11</v>
      </c>
      <c r="I1" s="1" t="s">
        <v>12</v>
      </c>
      <c r="M1" s="1" t="s">
        <v>7</v>
      </c>
    </row>
    <row r="2" spans="1:14" ht="44.25" customHeight="1" thickBot="1" x14ac:dyDescent="0.3">
      <c r="A2" s="20" t="s">
        <v>17</v>
      </c>
      <c r="B2" s="23" t="s">
        <v>32</v>
      </c>
      <c r="C2" s="12" t="s">
        <v>16</v>
      </c>
      <c r="D2" t="s">
        <v>15</v>
      </c>
      <c r="E2">
        <v>2024</v>
      </c>
      <c r="F2">
        <f t="shared" ref="F2:F11" si="0">E2+1</f>
        <v>2025</v>
      </c>
      <c r="G2" s="28"/>
      <c r="H2">
        <v>1</v>
      </c>
      <c r="I2" t="str">
        <f>Таблица1[[#This Row],[График ТО]]</f>
        <v>Октябрь</v>
      </c>
      <c r="M2" s="1" t="s">
        <v>8</v>
      </c>
      <c r="N2">
        <v>8</v>
      </c>
    </row>
    <row r="3" spans="1:14" ht="48" thickBot="1" x14ac:dyDescent="0.3">
      <c r="A3" s="21" t="s">
        <v>18</v>
      </c>
      <c r="B3" s="24" t="s">
        <v>33</v>
      </c>
      <c r="C3" s="12" t="s">
        <v>16</v>
      </c>
      <c r="D3" t="s">
        <v>15</v>
      </c>
      <c r="E3">
        <v>2024</v>
      </c>
      <c r="F3">
        <f t="shared" si="0"/>
        <v>2025</v>
      </c>
      <c r="G3" s="26" t="s">
        <v>14</v>
      </c>
      <c r="H3">
        <v>2</v>
      </c>
      <c r="I3" t="str">
        <f>Таблица1[[#This Row],[График ТО]]</f>
        <v>Октябрь</v>
      </c>
      <c r="M3" s="1" t="s">
        <v>9</v>
      </c>
      <c r="N3">
        <f>2*N2</f>
        <v>16</v>
      </c>
    </row>
    <row r="4" spans="1:14" ht="48" thickBot="1" x14ac:dyDescent="0.3">
      <c r="A4" s="21" t="s">
        <v>18</v>
      </c>
      <c r="B4" s="24" t="s">
        <v>34</v>
      </c>
      <c r="C4" s="12" t="s">
        <v>16</v>
      </c>
      <c r="D4" t="s">
        <v>15</v>
      </c>
      <c r="E4">
        <v>2024</v>
      </c>
      <c r="F4">
        <f t="shared" si="0"/>
        <v>2025</v>
      </c>
      <c r="G4" s="26" t="s">
        <v>87</v>
      </c>
      <c r="H4">
        <v>3</v>
      </c>
      <c r="I4" t="str">
        <f>Таблица1[[#This Row],[График ТО]]</f>
        <v>Октябрь</v>
      </c>
      <c r="M4" s="1" t="s">
        <v>10</v>
      </c>
      <c r="N4">
        <f>3*N2</f>
        <v>24</v>
      </c>
    </row>
    <row r="5" spans="1:14" ht="16.5" thickBot="1" x14ac:dyDescent="0.3">
      <c r="A5" s="21" t="s">
        <v>19</v>
      </c>
      <c r="B5" s="24" t="s">
        <v>35</v>
      </c>
      <c r="C5" s="12" t="s">
        <v>16</v>
      </c>
      <c r="D5" t="s">
        <v>15</v>
      </c>
      <c r="E5">
        <v>2024</v>
      </c>
      <c r="F5">
        <f t="shared" si="0"/>
        <v>2025</v>
      </c>
      <c r="G5" s="26" t="s">
        <v>87</v>
      </c>
      <c r="H5">
        <v>4</v>
      </c>
      <c r="I5" t="str">
        <f>Таблица1[[#This Row],[График ТО]]</f>
        <v>Октябрь</v>
      </c>
      <c r="M5" s="1" t="s">
        <v>13</v>
      </c>
      <c r="N5">
        <f>24+8</f>
        <v>32</v>
      </c>
    </row>
    <row r="6" spans="1:14" ht="32.25" thickBot="1" x14ac:dyDescent="0.3">
      <c r="A6" s="21" t="s">
        <v>20</v>
      </c>
      <c r="B6" s="24" t="s">
        <v>36</v>
      </c>
      <c r="C6" s="12" t="s">
        <v>16</v>
      </c>
      <c r="D6" t="s">
        <v>15</v>
      </c>
      <c r="E6">
        <v>2024</v>
      </c>
      <c r="F6">
        <f t="shared" si="0"/>
        <v>2025</v>
      </c>
      <c r="G6" s="26" t="s">
        <v>14</v>
      </c>
      <c r="H6">
        <v>5</v>
      </c>
      <c r="I6" t="str">
        <f>Таблица1[[#This Row],[График ТО]]</f>
        <v>Октябрь</v>
      </c>
    </row>
    <row r="7" spans="1:14" ht="32.25" thickBot="1" x14ac:dyDescent="0.3">
      <c r="A7" s="21" t="s">
        <v>21</v>
      </c>
      <c r="B7" s="24" t="s">
        <v>37</v>
      </c>
      <c r="C7" s="12" t="s">
        <v>16</v>
      </c>
      <c r="D7" t="s">
        <v>15</v>
      </c>
      <c r="E7">
        <v>2024</v>
      </c>
      <c r="F7">
        <f t="shared" si="0"/>
        <v>2025</v>
      </c>
      <c r="G7" s="26" t="s">
        <v>87</v>
      </c>
      <c r="H7">
        <v>6</v>
      </c>
      <c r="I7" t="str">
        <f>Таблица1[[#This Row],[График ТО]]</f>
        <v>Октябрь</v>
      </c>
    </row>
    <row r="8" spans="1:14" ht="16.5" thickBot="1" x14ac:dyDescent="0.3">
      <c r="A8" s="21" t="s">
        <v>22</v>
      </c>
      <c r="B8" s="24" t="s">
        <v>38</v>
      </c>
      <c r="C8" s="12" t="s">
        <v>16</v>
      </c>
      <c r="D8" t="s">
        <v>15</v>
      </c>
      <c r="E8">
        <v>2024</v>
      </c>
      <c r="F8">
        <f t="shared" si="0"/>
        <v>2025</v>
      </c>
      <c r="G8" s="26" t="s">
        <v>87</v>
      </c>
      <c r="H8">
        <v>7</v>
      </c>
      <c r="I8" t="str">
        <f>Таблица1[[#This Row],[График ТО]]</f>
        <v>Октябрь</v>
      </c>
    </row>
    <row r="9" spans="1:14" ht="48" thickBot="1" x14ac:dyDescent="0.3">
      <c r="A9" s="21" t="s">
        <v>23</v>
      </c>
      <c r="B9" s="24" t="s">
        <v>39</v>
      </c>
      <c r="C9" s="12" t="s">
        <v>16</v>
      </c>
      <c r="D9" t="s">
        <v>15</v>
      </c>
      <c r="E9">
        <v>2024</v>
      </c>
      <c r="F9">
        <f t="shared" si="0"/>
        <v>2025</v>
      </c>
      <c r="G9" s="26" t="s">
        <v>87</v>
      </c>
      <c r="H9">
        <v>8</v>
      </c>
      <c r="I9" t="str">
        <f>Таблица1[[#This Row],[График ТО]]</f>
        <v>Октябрь</v>
      </c>
    </row>
    <row r="10" spans="1:14" ht="16.5" thickBot="1" x14ac:dyDescent="0.3">
      <c r="A10" s="21" t="s">
        <v>22</v>
      </c>
      <c r="B10" s="24" t="s">
        <v>40</v>
      </c>
      <c r="C10" s="12" t="s">
        <v>16</v>
      </c>
      <c r="D10" t="s">
        <v>15</v>
      </c>
      <c r="E10">
        <v>2024</v>
      </c>
      <c r="F10">
        <f t="shared" si="0"/>
        <v>2025</v>
      </c>
      <c r="G10" s="26" t="s">
        <v>86</v>
      </c>
      <c r="H10">
        <v>9</v>
      </c>
      <c r="I10" t="str">
        <f>Таблица1[[#This Row],[График ТО]]</f>
        <v>Октябрь</v>
      </c>
    </row>
    <row r="11" spans="1:14" ht="16.5" thickBot="1" x14ac:dyDescent="0.3">
      <c r="A11" s="21" t="s">
        <v>24</v>
      </c>
      <c r="B11" s="24" t="s">
        <v>41</v>
      </c>
      <c r="C11" s="12" t="s">
        <v>16</v>
      </c>
      <c r="D11" t="s">
        <v>15</v>
      </c>
      <c r="E11">
        <v>2024</v>
      </c>
      <c r="F11">
        <f t="shared" si="0"/>
        <v>2025</v>
      </c>
      <c r="G11" s="26" t="s">
        <v>14</v>
      </c>
      <c r="H11">
        <v>10</v>
      </c>
      <c r="I11" t="str">
        <f>Таблица1[[#This Row],[График ТО]]</f>
        <v>Октябрь</v>
      </c>
    </row>
    <row r="12" spans="1:14" ht="16.5" thickBot="1" x14ac:dyDescent="0.3">
      <c r="A12" s="21" t="s">
        <v>24</v>
      </c>
      <c r="B12" s="24" t="s">
        <v>42</v>
      </c>
      <c r="C12" s="12" t="s">
        <v>16</v>
      </c>
      <c r="D12" t="s">
        <v>15</v>
      </c>
      <c r="E12">
        <v>2024</v>
      </c>
      <c r="F12">
        <f t="shared" ref="F12:F49" si="1">E12+1</f>
        <v>2025</v>
      </c>
      <c r="G12" s="26" t="s">
        <v>87</v>
      </c>
      <c r="H12">
        <v>11</v>
      </c>
      <c r="I12" t="str">
        <f>Таблица1[[#This Row],[График ТО]]</f>
        <v>Октябрь</v>
      </c>
    </row>
    <row r="13" spans="1:14" ht="16.5" thickBot="1" x14ac:dyDescent="0.3">
      <c r="A13" s="21" t="s">
        <v>25</v>
      </c>
      <c r="B13" s="24" t="s">
        <v>43</v>
      </c>
      <c r="C13" s="12" t="s">
        <v>16</v>
      </c>
      <c r="D13" t="s">
        <v>15</v>
      </c>
      <c r="E13">
        <v>2024</v>
      </c>
      <c r="F13">
        <f t="shared" si="1"/>
        <v>2025</v>
      </c>
      <c r="G13" s="26" t="s">
        <v>87</v>
      </c>
      <c r="H13">
        <v>12</v>
      </c>
      <c r="I13" t="str">
        <f>Таблица1[[#This Row],[График ТО]]</f>
        <v>Октябрь</v>
      </c>
    </row>
    <row r="14" spans="1:14" ht="16.5" thickBot="1" x14ac:dyDescent="0.3">
      <c r="A14" s="21" t="s">
        <v>25</v>
      </c>
      <c r="B14" s="24" t="s">
        <v>44</v>
      </c>
      <c r="C14" s="12" t="s">
        <v>16</v>
      </c>
      <c r="D14" t="s">
        <v>15</v>
      </c>
      <c r="E14">
        <v>2024</v>
      </c>
      <c r="F14">
        <f t="shared" si="1"/>
        <v>2025</v>
      </c>
      <c r="G14" s="26" t="s">
        <v>14</v>
      </c>
      <c r="H14">
        <v>13</v>
      </c>
      <c r="I14" t="str">
        <f>Таблица1[[#This Row],[График ТО]]</f>
        <v>Октябрь</v>
      </c>
    </row>
    <row r="15" spans="1:14" ht="16.5" thickBot="1" x14ac:dyDescent="0.3">
      <c r="A15" s="21" t="s">
        <v>26</v>
      </c>
      <c r="B15" s="24" t="s">
        <v>45</v>
      </c>
      <c r="C15" s="12" t="s">
        <v>16</v>
      </c>
      <c r="D15" t="s">
        <v>15</v>
      </c>
      <c r="E15">
        <v>2024</v>
      </c>
      <c r="F15">
        <f t="shared" si="1"/>
        <v>2025</v>
      </c>
      <c r="G15" s="26" t="s">
        <v>14</v>
      </c>
      <c r="H15">
        <v>14</v>
      </c>
      <c r="I15" t="str">
        <f>Таблица1[[#This Row],[График ТО]]</f>
        <v>Октябрь</v>
      </c>
    </row>
    <row r="16" spans="1:14" ht="16.5" thickBot="1" x14ac:dyDescent="0.3">
      <c r="A16" s="21" t="s">
        <v>27</v>
      </c>
      <c r="B16" s="24" t="s">
        <v>46</v>
      </c>
      <c r="C16" s="12" t="s">
        <v>16</v>
      </c>
      <c r="D16" t="s">
        <v>15</v>
      </c>
      <c r="E16">
        <v>2024</v>
      </c>
      <c r="F16">
        <f t="shared" si="1"/>
        <v>2025</v>
      </c>
      <c r="G16" s="26" t="s">
        <v>14</v>
      </c>
      <c r="H16">
        <v>15</v>
      </c>
      <c r="I16" t="str">
        <f>Таблица1[[#This Row],[График ТО]]</f>
        <v>Октябрь</v>
      </c>
    </row>
    <row r="17" spans="1:9" ht="16.5" thickBot="1" x14ac:dyDescent="0.3">
      <c r="A17" s="21" t="s">
        <v>28</v>
      </c>
      <c r="B17" s="24" t="s">
        <v>47</v>
      </c>
      <c r="C17" s="12" t="s">
        <v>16</v>
      </c>
      <c r="D17" t="s">
        <v>15</v>
      </c>
      <c r="E17">
        <v>2024</v>
      </c>
      <c r="F17">
        <f t="shared" si="1"/>
        <v>2025</v>
      </c>
      <c r="G17" s="26" t="s">
        <v>14</v>
      </c>
      <c r="H17">
        <v>16</v>
      </c>
      <c r="I17" t="str">
        <f>Таблица1[[#This Row],[График ТО]]</f>
        <v>Октябрь</v>
      </c>
    </row>
    <row r="18" spans="1:9" ht="16.5" thickBot="1" x14ac:dyDescent="0.3">
      <c r="A18" s="21" t="s">
        <v>29</v>
      </c>
      <c r="B18" s="24">
        <v>14154</v>
      </c>
      <c r="C18" s="12" t="s">
        <v>16</v>
      </c>
      <c r="D18" t="s">
        <v>15</v>
      </c>
      <c r="E18">
        <v>2024</v>
      </c>
      <c r="F18">
        <f t="shared" si="1"/>
        <v>2025</v>
      </c>
      <c r="G18" s="26" t="s">
        <v>14</v>
      </c>
      <c r="H18">
        <v>17</v>
      </c>
      <c r="I18" t="str">
        <f>Таблица1[[#This Row],[График ТО]]</f>
        <v>Октябрь</v>
      </c>
    </row>
    <row r="19" spans="1:9" ht="32.25" thickBot="1" x14ac:dyDescent="0.3">
      <c r="A19" s="21" t="s">
        <v>30</v>
      </c>
      <c r="B19" s="24">
        <v>14153</v>
      </c>
      <c r="C19" s="12" t="s">
        <v>16</v>
      </c>
      <c r="D19" t="s">
        <v>15</v>
      </c>
      <c r="E19">
        <v>2024</v>
      </c>
      <c r="F19">
        <f t="shared" si="1"/>
        <v>2025</v>
      </c>
      <c r="G19" s="26" t="s">
        <v>14</v>
      </c>
      <c r="H19">
        <v>18</v>
      </c>
      <c r="I19" t="str">
        <f>Таблица1[[#This Row],[График ТО]]</f>
        <v>Октябрь</v>
      </c>
    </row>
    <row r="20" spans="1:9" ht="32.25" thickBot="1" x14ac:dyDescent="0.3">
      <c r="A20" s="22" t="s">
        <v>31</v>
      </c>
      <c r="B20" s="24">
        <v>4836</v>
      </c>
      <c r="C20" s="12" t="s">
        <v>16</v>
      </c>
      <c r="D20" t="s">
        <v>15</v>
      </c>
      <c r="E20">
        <v>2024</v>
      </c>
      <c r="F20">
        <f t="shared" si="1"/>
        <v>2025</v>
      </c>
      <c r="G20" s="26" t="s">
        <v>14</v>
      </c>
      <c r="H20">
        <v>19</v>
      </c>
      <c r="I20" t="str">
        <f>Таблица1[[#This Row],[График ТО]]</f>
        <v>Октябрь</v>
      </c>
    </row>
    <row r="21" spans="1:9" ht="16.5" thickBot="1" x14ac:dyDescent="0.3">
      <c r="A21" s="20" t="s">
        <v>48</v>
      </c>
      <c r="B21" s="23" t="s">
        <v>55</v>
      </c>
      <c r="C21" s="12" t="s">
        <v>16</v>
      </c>
      <c r="D21" t="s">
        <v>15</v>
      </c>
      <c r="E21">
        <v>2024</v>
      </c>
      <c r="F21">
        <f t="shared" si="1"/>
        <v>2025</v>
      </c>
      <c r="G21" s="26" t="s">
        <v>14</v>
      </c>
      <c r="H21">
        <v>20</v>
      </c>
      <c r="I21" t="str">
        <f>Таблица1[[#This Row],[График ТО]]</f>
        <v>Октябрь</v>
      </c>
    </row>
    <row r="22" spans="1:9" ht="32.25" thickBot="1" x14ac:dyDescent="0.3">
      <c r="A22" s="21" t="s">
        <v>49</v>
      </c>
      <c r="B22" s="24" t="s">
        <v>56</v>
      </c>
      <c r="C22" s="12" t="s">
        <v>16</v>
      </c>
      <c r="D22" t="s">
        <v>15</v>
      </c>
      <c r="E22">
        <v>2024</v>
      </c>
      <c r="F22">
        <f t="shared" si="1"/>
        <v>2025</v>
      </c>
      <c r="G22" s="25" t="s">
        <v>87</v>
      </c>
      <c r="H22">
        <v>21</v>
      </c>
      <c r="I22" t="str">
        <f>Таблица1[[#This Row],[График ТО]]</f>
        <v>Октябрь</v>
      </c>
    </row>
    <row r="23" spans="1:9" ht="48" thickBot="1" x14ac:dyDescent="0.3">
      <c r="A23" s="21" t="s">
        <v>50</v>
      </c>
      <c r="B23" s="24" t="s">
        <v>57</v>
      </c>
      <c r="C23" s="12" t="s">
        <v>16</v>
      </c>
      <c r="D23" t="s">
        <v>15</v>
      </c>
      <c r="E23">
        <v>2024</v>
      </c>
      <c r="F23">
        <f t="shared" si="1"/>
        <v>2025</v>
      </c>
      <c r="G23" s="25" t="s">
        <v>87</v>
      </c>
      <c r="H23">
        <v>22</v>
      </c>
      <c r="I23" t="str">
        <f>Таблица1[[#This Row],[График ТО]]</f>
        <v>Октябрь</v>
      </c>
    </row>
    <row r="24" spans="1:9" ht="48" thickBot="1" x14ac:dyDescent="0.3">
      <c r="A24" s="21" t="s">
        <v>51</v>
      </c>
      <c r="B24" s="24" t="s">
        <v>58</v>
      </c>
      <c r="C24" s="12" t="s">
        <v>16</v>
      </c>
      <c r="D24" t="s">
        <v>15</v>
      </c>
      <c r="E24">
        <v>2024</v>
      </c>
      <c r="F24">
        <f t="shared" si="1"/>
        <v>2025</v>
      </c>
      <c r="G24" s="25" t="s">
        <v>87</v>
      </c>
      <c r="H24">
        <v>23</v>
      </c>
      <c r="I24" t="str">
        <f>Таблица1[[#This Row],[График ТО]]</f>
        <v>Октябрь</v>
      </c>
    </row>
    <row r="25" spans="1:9" ht="48" thickBot="1" x14ac:dyDescent="0.3">
      <c r="A25" s="21" t="s">
        <v>50</v>
      </c>
      <c r="B25" s="24" t="s">
        <v>59</v>
      </c>
      <c r="C25" s="12" t="s">
        <v>16</v>
      </c>
      <c r="D25" t="s">
        <v>15</v>
      </c>
      <c r="E25">
        <v>2024</v>
      </c>
      <c r="F25">
        <f t="shared" si="1"/>
        <v>2025</v>
      </c>
      <c r="G25" s="25" t="s">
        <v>87</v>
      </c>
      <c r="H25">
        <v>24</v>
      </c>
      <c r="I25" t="str">
        <f>Таблица1[[#This Row],[График ТО]]</f>
        <v>Октябрь</v>
      </c>
    </row>
    <row r="26" spans="1:9" ht="48" thickBot="1" x14ac:dyDescent="0.3">
      <c r="A26" s="21" t="s">
        <v>50</v>
      </c>
      <c r="B26" s="24" t="s">
        <v>60</v>
      </c>
      <c r="C26" s="12" t="s">
        <v>16</v>
      </c>
      <c r="D26" t="s">
        <v>15</v>
      </c>
      <c r="E26">
        <v>2024</v>
      </c>
      <c r="F26">
        <f t="shared" si="1"/>
        <v>2025</v>
      </c>
      <c r="G26" s="25" t="s">
        <v>87</v>
      </c>
      <c r="H26">
        <v>25</v>
      </c>
      <c r="I26" t="str">
        <f>Таблица1[[#This Row],[График ТО]]</f>
        <v>Октябрь</v>
      </c>
    </row>
    <row r="27" spans="1:9" ht="48" thickBot="1" x14ac:dyDescent="0.3">
      <c r="A27" s="21" t="s">
        <v>50</v>
      </c>
      <c r="B27" s="24" t="s">
        <v>61</v>
      </c>
      <c r="C27" s="12" t="s">
        <v>16</v>
      </c>
      <c r="D27" t="s">
        <v>15</v>
      </c>
      <c r="E27">
        <v>2024</v>
      </c>
      <c r="F27">
        <f t="shared" si="1"/>
        <v>2025</v>
      </c>
      <c r="G27" s="25" t="s">
        <v>87</v>
      </c>
      <c r="H27">
        <v>26</v>
      </c>
      <c r="I27" t="str">
        <f>Таблица1[[#This Row],[График ТО]]</f>
        <v>Октябрь</v>
      </c>
    </row>
    <row r="28" spans="1:9" ht="48" thickBot="1" x14ac:dyDescent="0.3">
      <c r="A28" s="21" t="s">
        <v>50</v>
      </c>
      <c r="B28" s="24" t="s">
        <v>62</v>
      </c>
      <c r="C28" s="12" t="s">
        <v>16</v>
      </c>
      <c r="D28" t="s">
        <v>15</v>
      </c>
      <c r="E28">
        <v>2024</v>
      </c>
      <c r="F28">
        <f t="shared" si="1"/>
        <v>2025</v>
      </c>
      <c r="G28" s="25" t="s">
        <v>87</v>
      </c>
      <c r="H28">
        <v>27</v>
      </c>
      <c r="I28" t="str">
        <f>Таблица1[[#This Row],[График ТО]]</f>
        <v>Октябрь</v>
      </c>
    </row>
    <row r="29" spans="1:9" ht="48" thickBot="1" x14ac:dyDescent="0.3">
      <c r="A29" s="21" t="s">
        <v>51</v>
      </c>
      <c r="B29" s="24" t="s">
        <v>63</v>
      </c>
      <c r="C29" s="12" t="s">
        <v>16</v>
      </c>
      <c r="D29" t="s">
        <v>15</v>
      </c>
      <c r="E29">
        <v>2024</v>
      </c>
      <c r="F29">
        <f t="shared" si="1"/>
        <v>2025</v>
      </c>
      <c r="G29" s="25" t="s">
        <v>87</v>
      </c>
      <c r="H29">
        <v>28</v>
      </c>
      <c r="I29" t="str">
        <f>Таблица1[[#This Row],[График ТО]]</f>
        <v>Октябрь</v>
      </c>
    </row>
    <row r="30" spans="1:9" ht="48" thickBot="1" x14ac:dyDescent="0.3">
      <c r="A30" s="21" t="s">
        <v>50</v>
      </c>
      <c r="B30" s="24" t="s">
        <v>64</v>
      </c>
      <c r="C30" s="12" t="s">
        <v>16</v>
      </c>
      <c r="D30" t="s">
        <v>15</v>
      </c>
      <c r="E30">
        <v>2024</v>
      </c>
      <c r="F30">
        <f t="shared" si="1"/>
        <v>2025</v>
      </c>
      <c r="G30" s="25" t="s">
        <v>87</v>
      </c>
      <c r="H30">
        <v>29</v>
      </c>
      <c r="I30" t="str">
        <f>Таблица1[[#This Row],[График ТО]]</f>
        <v>Октябрь</v>
      </c>
    </row>
    <row r="31" spans="1:9" ht="48" thickBot="1" x14ac:dyDescent="0.3">
      <c r="A31" s="21" t="s">
        <v>50</v>
      </c>
      <c r="B31" s="24" t="s">
        <v>65</v>
      </c>
      <c r="C31" s="12" t="s">
        <v>16</v>
      </c>
      <c r="D31" t="s">
        <v>15</v>
      </c>
      <c r="E31">
        <v>2024</v>
      </c>
      <c r="F31">
        <f t="shared" si="1"/>
        <v>2025</v>
      </c>
      <c r="G31" s="25" t="s">
        <v>87</v>
      </c>
      <c r="H31">
        <v>30</v>
      </c>
      <c r="I31" t="str">
        <f>Таблица1[[#This Row],[График ТО]]</f>
        <v>Октябрь</v>
      </c>
    </row>
    <row r="32" spans="1:9" ht="48" thickBot="1" x14ac:dyDescent="0.3">
      <c r="A32" s="21" t="s">
        <v>50</v>
      </c>
      <c r="B32" s="24" t="s">
        <v>66</v>
      </c>
      <c r="C32" s="12" t="s">
        <v>16</v>
      </c>
      <c r="D32" t="s">
        <v>15</v>
      </c>
      <c r="E32">
        <v>2024</v>
      </c>
      <c r="F32">
        <f t="shared" si="1"/>
        <v>2025</v>
      </c>
      <c r="G32" s="25" t="s">
        <v>87</v>
      </c>
      <c r="H32">
        <v>31</v>
      </c>
      <c r="I32" t="str">
        <f>Таблица1[[#This Row],[График ТО]]</f>
        <v>Октябрь</v>
      </c>
    </row>
    <row r="33" spans="1:9" ht="16.5" thickBot="1" x14ac:dyDescent="0.3">
      <c r="A33" s="21" t="s">
        <v>52</v>
      </c>
      <c r="B33" s="24" t="s">
        <v>67</v>
      </c>
      <c r="C33" s="12" t="s">
        <v>16</v>
      </c>
      <c r="D33" t="s">
        <v>15</v>
      </c>
      <c r="E33">
        <v>2024</v>
      </c>
      <c r="F33">
        <f t="shared" si="1"/>
        <v>2025</v>
      </c>
      <c r="G33" s="25" t="s">
        <v>87</v>
      </c>
      <c r="H33">
        <v>32</v>
      </c>
      <c r="I33" t="str">
        <f>Таблица1[[#This Row],[График ТО]]</f>
        <v>Октябрь</v>
      </c>
    </row>
    <row r="34" spans="1:9" ht="16.5" thickBot="1" x14ac:dyDescent="0.3">
      <c r="A34" s="21" t="s">
        <v>52</v>
      </c>
      <c r="B34" s="24" t="s">
        <v>68</v>
      </c>
      <c r="C34" s="12" t="s">
        <v>16</v>
      </c>
      <c r="D34" t="s">
        <v>15</v>
      </c>
      <c r="E34">
        <v>2024</v>
      </c>
      <c r="F34">
        <f t="shared" si="1"/>
        <v>2025</v>
      </c>
      <c r="G34" s="25" t="s">
        <v>14</v>
      </c>
      <c r="H34">
        <v>33</v>
      </c>
      <c r="I34" t="str">
        <f>Таблица1[[#This Row],[График ТО]]</f>
        <v>Октябрь</v>
      </c>
    </row>
    <row r="35" spans="1:9" ht="32.25" thickBot="1" x14ac:dyDescent="0.3">
      <c r="A35" s="21" t="s">
        <v>53</v>
      </c>
      <c r="B35" s="24" t="s">
        <v>69</v>
      </c>
      <c r="C35" s="12" t="s">
        <v>16</v>
      </c>
      <c r="D35" t="s">
        <v>15</v>
      </c>
      <c r="E35">
        <v>2024</v>
      </c>
      <c r="F35">
        <f t="shared" si="1"/>
        <v>2025</v>
      </c>
      <c r="G35" s="25" t="s">
        <v>14</v>
      </c>
      <c r="H35">
        <v>34</v>
      </c>
      <c r="I35" t="str">
        <f>Таблица1[[#This Row],[График ТО]]</f>
        <v>Октябрь</v>
      </c>
    </row>
    <row r="36" spans="1:9" ht="32.25" thickBot="1" x14ac:dyDescent="0.3">
      <c r="A36" s="21" t="s">
        <v>53</v>
      </c>
      <c r="B36" s="24" t="s">
        <v>70</v>
      </c>
      <c r="C36" s="12" t="s">
        <v>16</v>
      </c>
      <c r="D36" t="s">
        <v>15</v>
      </c>
      <c r="E36">
        <v>2024</v>
      </c>
      <c r="F36">
        <f t="shared" si="1"/>
        <v>2025</v>
      </c>
      <c r="G36" s="25" t="s">
        <v>87</v>
      </c>
      <c r="H36">
        <v>35</v>
      </c>
      <c r="I36" t="str">
        <f>Таблица1[[#This Row],[График ТО]]</f>
        <v>Октябрь</v>
      </c>
    </row>
    <row r="37" spans="1:9" ht="32.25" thickBot="1" x14ac:dyDescent="0.3">
      <c r="A37" s="21" t="s">
        <v>54</v>
      </c>
      <c r="B37" s="24" t="s">
        <v>71</v>
      </c>
      <c r="C37" s="12" t="s">
        <v>16</v>
      </c>
      <c r="D37" t="s">
        <v>15</v>
      </c>
      <c r="E37">
        <v>2024</v>
      </c>
      <c r="F37">
        <f t="shared" si="1"/>
        <v>2025</v>
      </c>
      <c r="G37" s="25" t="s">
        <v>87</v>
      </c>
      <c r="H37">
        <v>36</v>
      </c>
      <c r="I37" t="str">
        <f>Таблица1[[#This Row],[График ТО]]</f>
        <v>Октябрь</v>
      </c>
    </row>
    <row r="38" spans="1:9" ht="32.25" thickBot="1" x14ac:dyDescent="0.3">
      <c r="A38" s="20" t="s">
        <v>54</v>
      </c>
      <c r="B38" s="23" t="s">
        <v>74</v>
      </c>
      <c r="C38" s="12" t="s">
        <v>16</v>
      </c>
      <c r="D38" t="s">
        <v>15</v>
      </c>
      <c r="E38">
        <v>2024</v>
      </c>
      <c r="F38">
        <f t="shared" si="1"/>
        <v>2025</v>
      </c>
      <c r="G38" s="25" t="s">
        <v>87</v>
      </c>
      <c r="H38">
        <v>37</v>
      </c>
      <c r="I38" t="str">
        <f>Таблица1[[#This Row],[График ТО]]</f>
        <v>Октябрь</v>
      </c>
    </row>
    <row r="39" spans="1:9" ht="32.25" thickBot="1" x14ac:dyDescent="0.3">
      <c r="A39" s="21" t="s">
        <v>54</v>
      </c>
      <c r="B39" s="24" t="s">
        <v>75</v>
      </c>
      <c r="C39" s="12" t="s">
        <v>16</v>
      </c>
      <c r="D39" t="s">
        <v>15</v>
      </c>
      <c r="E39">
        <v>2024</v>
      </c>
      <c r="F39">
        <f t="shared" si="1"/>
        <v>2025</v>
      </c>
      <c r="G39" s="25" t="s">
        <v>87</v>
      </c>
      <c r="H39">
        <v>38</v>
      </c>
      <c r="I39" t="str">
        <f>Таблица1[[#This Row],[График ТО]]</f>
        <v>Октябрь</v>
      </c>
    </row>
    <row r="40" spans="1:9" ht="32.25" thickBot="1" x14ac:dyDescent="0.3">
      <c r="A40" s="21" t="s">
        <v>54</v>
      </c>
      <c r="B40" s="24" t="s">
        <v>76</v>
      </c>
      <c r="C40" s="12" t="s">
        <v>16</v>
      </c>
      <c r="D40" t="s">
        <v>15</v>
      </c>
      <c r="E40">
        <v>2024</v>
      </c>
      <c r="F40">
        <f t="shared" si="1"/>
        <v>2025</v>
      </c>
      <c r="G40" s="25" t="s">
        <v>87</v>
      </c>
      <c r="H40">
        <v>39</v>
      </c>
      <c r="I40" t="str">
        <f>Таблица1[[#This Row],[График ТО]]</f>
        <v>Октябрь</v>
      </c>
    </row>
    <row r="41" spans="1:9" ht="32.25" thickBot="1" x14ac:dyDescent="0.3">
      <c r="A41" s="21" t="s">
        <v>53</v>
      </c>
      <c r="B41" s="24" t="s">
        <v>77</v>
      </c>
      <c r="C41" s="12" t="s">
        <v>16</v>
      </c>
      <c r="D41" t="s">
        <v>15</v>
      </c>
      <c r="E41">
        <v>2024</v>
      </c>
      <c r="F41">
        <f t="shared" si="1"/>
        <v>2025</v>
      </c>
      <c r="G41" s="25" t="s">
        <v>87</v>
      </c>
      <c r="H41">
        <v>40</v>
      </c>
      <c r="I41" t="str">
        <f>Таблица1[[#This Row],[График ТО]]</f>
        <v>Октябрь</v>
      </c>
    </row>
    <row r="42" spans="1:9" ht="32.25" thickBot="1" x14ac:dyDescent="0.3">
      <c r="A42" s="21" t="s">
        <v>72</v>
      </c>
      <c r="B42" s="24" t="s">
        <v>78</v>
      </c>
      <c r="C42" s="12" t="s">
        <v>16</v>
      </c>
      <c r="D42" t="s">
        <v>15</v>
      </c>
      <c r="E42">
        <v>2024</v>
      </c>
      <c r="F42">
        <f t="shared" si="1"/>
        <v>2025</v>
      </c>
      <c r="G42" s="25" t="s">
        <v>87</v>
      </c>
      <c r="H42">
        <v>41</v>
      </c>
      <c r="I42" t="str">
        <f>Таблица1[[#This Row],[График ТО]]</f>
        <v>Октябрь</v>
      </c>
    </row>
    <row r="43" spans="1:9" ht="32.25" thickBot="1" x14ac:dyDescent="0.3">
      <c r="A43" s="21" t="s">
        <v>72</v>
      </c>
      <c r="B43" s="24" t="s">
        <v>79</v>
      </c>
      <c r="C43" s="12" t="s">
        <v>16</v>
      </c>
      <c r="D43" t="s">
        <v>15</v>
      </c>
      <c r="E43">
        <v>2024</v>
      </c>
      <c r="F43">
        <f t="shared" si="1"/>
        <v>2025</v>
      </c>
      <c r="G43" s="25" t="s">
        <v>87</v>
      </c>
      <c r="H43">
        <v>42</v>
      </c>
      <c r="I43" t="str">
        <f>Таблица1[[#This Row],[График ТО]]</f>
        <v>Октябрь</v>
      </c>
    </row>
    <row r="44" spans="1:9" ht="32.25" thickBot="1" x14ac:dyDescent="0.3">
      <c r="A44" s="21" t="s">
        <v>72</v>
      </c>
      <c r="B44" s="24" t="s">
        <v>80</v>
      </c>
      <c r="C44" s="12" t="s">
        <v>16</v>
      </c>
      <c r="D44" t="s">
        <v>15</v>
      </c>
      <c r="E44">
        <v>2024</v>
      </c>
      <c r="F44">
        <f t="shared" si="1"/>
        <v>2025</v>
      </c>
      <c r="G44" s="25" t="s">
        <v>87</v>
      </c>
      <c r="H44">
        <v>43</v>
      </c>
      <c r="I44" t="str">
        <f>Таблица1[[#This Row],[График ТО]]</f>
        <v>Октябрь</v>
      </c>
    </row>
    <row r="45" spans="1:9" ht="32.25" thickBot="1" x14ac:dyDescent="0.3">
      <c r="A45" s="21" t="s">
        <v>72</v>
      </c>
      <c r="B45" s="24" t="s">
        <v>81</v>
      </c>
      <c r="C45" s="12" t="s">
        <v>16</v>
      </c>
      <c r="D45" t="s">
        <v>15</v>
      </c>
      <c r="E45">
        <v>2024</v>
      </c>
      <c r="F45">
        <f t="shared" si="1"/>
        <v>2025</v>
      </c>
      <c r="G45" s="25" t="s">
        <v>87</v>
      </c>
      <c r="H45">
        <v>44</v>
      </c>
      <c r="I45" t="str">
        <f>Таблица1[[#This Row],[График ТО]]</f>
        <v>Октябрь</v>
      </c>
    </row>
    <row r="46" spans="1:9" ht="16.5" thickBot="1" x14ac:dyDescent="0.3">
      <c r="A46" s="21" t="s">
        <v>73</v>
      </c>
      <c r="B46" s="24" t="s">
        <v>82</v>
      </c>
      <c r="C46" s="12" t="s">
        <v>16</v>
      </c>
      <c r="D46" t="s">
        <v>15</v>
      </c>
      <c r="E46">
        <v>2024</v>
      </c>
      <c r="F46">
        <f t="shared" si="1"/>
        <v>2025</v>
      </c>
      <c r="G46" s="25" t="s">
        <v>87</v>
      </c>
      <c r="H46">
        <v>45</v>
      </c>
      <c r="I46" t="str">
        <f>Таблица1[[#This Row],[График ТО]]</f>
        <v>Октябрь</v>
      </c>
    </row>
    <row r="47" spans="1:9" ht="32.25" thickBot="1" x14ac:dyDescent="0.3">
      <c r="A47" s="21" t="s">
        <v>54</v>
      </c>
      <c r="B47" s="24" t="s">
        <v>83</v>
      </c>
      <c r="C47" s="12" t="s">
        <v>16</v>
      </c>
      <c r="D47" t="s">
        <v>15</v>
      </c>
      <c r="E47">
        <v>2024</v>
      </c>
      <c r="F47">
        <f t="shared" si="1"/>
        <v>2025</v>
      </c>
      <c r="G47" s="25" t="s">
        <v>87</v>
      </c>
      <c r="H47">
        <v>46</v>
      </c>
      <c r="I47" t="str">
        <f>Таблица1[[#This Row],[График ТО]]</f>
        <v>Октябрь</v>
      </c>
    </row>
    <row r="48" spans="1:9" ht="32.25" thickBot="1" x14ac:dyDescent="0.3">
      <c r="A48" s="21" t="s">
        <v>54</v>
      </c>
      <c r="B48" s="24" t="s">
        <v>84</v>
      </c>
      <c r="C48" s="12" t="s">
        <v>16</v>
      </c>
      <c r="D48" t="s">
        <v>15</v>
      </c>
      <c r="E48">
        <v>2024</v>
      </c>
      <c r="F48">
        <f t="shared" si="1"/>
        <v>2025</v>
      </c>
      <c r="G48" s="25" t="s">
        <v>87</v>
      </c>
      <c r="H48">
        <v>47</v>
      </c>
      <c r="I48" t="str">
        <f>Таблица1[[#This Row],[График ТО]]</f>
        <v>Октябрь</v>
      </c>
    </row>
    <row r="49" spans="1:9" ht="32.25" thickBot="1" x14ac:dyDescent="0.3">
      <c r="A49" s="22" t="s">
        <v>54</v>
      </c>
      <c r="B49" s="24" t="s">
        <v>85</v>
      </c>
      <c r="C49" s="12" t="s">
        <v>16</v>
      </c>
      <c r="D49" t="s">
        <v>15</v>
      </c>
      <c r="E49">
        <v>2024</v>
      </c>
      <c r="F49">
        <f t="shared" si="1"/>
        <v>2025</v>
      </c>
      <c r="G49" s="27" t="s">
        <v>87</v>
      </c>
      <c r="H49">
        <v>48</v>
      </c>
      <c r="I49" t="str">
        <f>Таблица1[[#This Row],[График ТО]]</f>
        <v>Октябрь</v>
      </c>
    </row>
    <row r="50" spans="1:9" x14ac:dyDescent="0.25">
      <c r="G50" s="13" t="s">
        <v>87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abSelected="1" view="pageLayout" zoomScaleNormal="100" workbookViewId="0"/>
  </sheetViews>
  <sheetFormatPr defaultColWidth="8.140625" defaultRowHeight="15" x14ac:dyDescent="0.25"/>
  <cols>
    <col min="1" max="1" width="34.28515625" customWidth="1"/>
    <col min="2" max="2" width="2.85546875" customWidth="1"/>
    <col min="3" max="3" width="34.140625" customWidth="1"/>
    <col min="4" max="4" width="2" customWidth="1"/>
    <col min="5" max="5" width="33.42578125" customWidth="1"/>
  </cols>
  <sheetData>
    <row r="1" spans="1:8" s="2" customFormat="1" ht="21.75" customHeight="1" x14ac:dyDescent="0.25">
      <c r="A1" s="14" t="str">
        <f ca="1">"Наименование: " &amp; INDIRECT(ADDRESS(INT(ROUNDUP(((ROW())/6), 1)) + 2, 1, 1, 1, "Исходная информация"))</f>
        <v>Наименование: Центрифуга  Rotofix32</v>
      </c>
      <c r="B1" s="17"/>
      <c r="C1" s="14" t="str">
        <f ca="1">"Наименование: " &amp; INDIRECT(ADDRESS(INT(ROUNDUP(((ROW())/6), 1)) + (2+'Исходная информация'!$N$2), 1, 1, 1, "Исходная информация"))</f>
        <v>Наименование: аппарат для подогрева крови</v>
      </c>
      <c r="D1" s="17"/>
      <c r="E1" s="14" t="str">
        <f ca="1">"Наименование: " &amp; INDIRECT(ADDRESS(INT(ROUNDUP(((ROW())/6), 1)) + (2+'Исходная информация'!$N$3), 1, 1, 1, "Исходная информация"))</f>
        <v>Наименование: Перемешиватель тромбоцитов на 15 доз PF 15h</v>
      </c>
      <c r="F1" s="5"/>
      <c r="G1" s="5"/>
      <c r="H1" s="5"/>
    </row>
    <row r="2" spans="1:8" ht="15" customHeight="1" x14ac:dyDescent="0.25">
      <c r="A2" s="15" t="str">
        <f ca="1">"Инв. №: " &amp; INDIRECT(ADDRESS(INT(ROUNDUP(((ROW())/6), 1)) + 2, 2, 1, 1, "Исходная информация"))</f>
        <v>Инв. №: 000410124.04.80191116</v>
      </c>
      <c r="B2" s="18"/>
      <c r="C2" s="15" t="str">
        <f ca="1">"Инв. №: " &amp; INDIRECT(ADDRESS(INT(ROUNDUP(((ROW())/6), 1)) + (2+'Исходная информация'!$N$2), 2, 1, 1, "Исходная информация"))</f>
        <v>Инв. №: 000410124.04.80191758</v>
      </c>
      <c r="D2" s="18"/>
      <c r="E2" s="15" t="str">
        <f ca="1">"Инв. №: " &amp; INDIRECT(ADDRESS(INT(ROUNDUP(((ROW())/6), 1)) + (2+'Исходная информация'!$N$3), 2, 1, 1, "Исходная информация"))</f>
        <v>Инв. №: 14154</v>
      </c>
      <c r="F2" s="7"/>
      <c r="G2" s="7"/>
      <c r="H2" s="7"/>
    </row>
    <row r="3" spans="1:8" ht="15" customHeight="1" x14ac:dyDescent="0.25">
      <c r="A3" s="15" t="str">
        <f ca="1">"Периодичность ТО: " &amp; INDIRECT(ADDRESS(INT(ROUNDUP(((ROW())/6), 1)) + 2, 3, 1, 1, "Исходная информация"))</f>
        <v>Периодичность ТО: 1 год</v>
      </c>
      <c r="B3" s="18"/>
      <c r="C3" s="15" t="str">
        <f ca="1">"Периодичность ТО: " &amp; INDIRECT(ADDRESS(INT(ROUNDUP(((ROW())/6), 1)) + (2+'Исходная информация'!$N$2), 3, 1, 1, "Исходная информация"))</f>
        <v>Периодичность ТО: 1 год</v>
      </c>
      <c r="D3" s="18"/>
      <c r="E3" s="15" t="str">
        <f ca="1">"Периодичность ТО: " &amp; INDIRECT(ADDRESS(INT(ROUNDUP(((ROW())/6), 1)) + (2+'Исходная информация'!$N$3), 3, 1, 1, "Исходная информация"))</f>
        <v>Периодичность ТО: 1 год</v>
      </c>
      <c r="F3" s="7"/>
      <c r="G3" s="7"/>
      <c r="H3" s="7"/>
    </row>
    <row r="4" spans="1:8" ht="15" customHeight="1" x14ac:dyDescent="0.25">
      <c r="A4" s="15" t="str">
        <f ca="1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Октябрь 2024 г.</v>
      </c>
      <c r="B4" s="18"/>
      <c r="C4" s="15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Октябрь 2024 г.</v>
      </c>
      <c r="D4" s="18"/>
      <c r="E4" s="15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Октябрь 2024 г.</v>
      </c>
      <c r="F4" s="7"/>
      <c r="G4" s="7"/>
      <c r="H4" s="7"/>
    </row>
    <row r="5" spans="1:8" ht="15" customHeight="1" x14ac:dyDescent="0.25">
      <c r="A5" s="15" t="str">
        <f ca="1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Октябрь 2025 г.</v>
      </c>
      <c r="B5" s="18"/>
      <c r="C5" s="15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Октябрь 2025 г.</v>
      </c>
      <c r="D5" s="18"/>
      <c r="E5" s="15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Октябрь 2025 г.</v>
      </c>
      <c r="F5" s="7"/>
      <c r="G5" s="7"/>
      <c r="H5" s="7"/>
    </row>
    <row r="6" spans="1:8" s="3" customFormat="1" ht="25.5" customHeight="1" x14ac:dyDescent="0.25">
      <c r="A6" s="16" t="str">
        <f ca="1">"Инженер ОЭиРМО: " &amp; INDIRECT(ADDRESS(INT(ROUNDUP(((ROW())/6), 1)) + 2, 7, 1, 1, "Исходная информация"))</f>
        <v>Инженер ОЭиРМО: Тангиров А.Р.</v>
      </c>
      <c r="B6" s="19"/>
      <c r="C6" s="16" t="str">
        <f ca="1">"Инженер ОЭиРМО: " &amp; INDIRECT(ADDRESS(INT(ROUNDUP(((ROW())/6), 1)) + (2+'Исходная информация'!$N$2), 7, 1, 1, "Исходная информация"))</f>
        <v>Инженер ОЭиРМО: Тангиров А.Р.</v>
      </c>
      <c r="D6" s="19"/>
      <c r="E6" s="16" t="str">
        <f ca="1">"Инженер ОЭиРМО: " &amp; INDIRECT(ADDRESS(INT(ROUNDUP(((ROW())/6), 1)) + (2+'Исходная информация'!$N$3), 7, 1, 1, "Исходная информация"))</f>
        <v>Инженер ОЭиРМО: Тангиров А.Р.</v>
      </c>
      <c r="F6" s="9"/>
      <c r="G6" s="9"/>
      <c r="H6" s="9"/>
    </row>
    <row r="7" spans="1:8" s="2" customFormat="1" ht="30.75" customHeight="1" x14ac:dyDescent="0.25">
      <c r="A7" s="14" t="str">
        <f t="shared" ref="A7" ca="1" si="0">"Наименование: " &amp; INDIRECT(ADDRESS(INT(ROUNDUP(((ROW())/6), 1)) + 2, 1, 1, 1, "Исходная информация"))</f>
        <v>Наименование: Монитор  глубины наркоза и седации              А-2000XP на основе биспектрального ЭЭГ-индекса (BIS)</v>
      </c>
      <c r="B7" s="17"/>
      <c r="C7" s="14" t="str">
        <f ca="1">"Наименование: " &amp; INDIRECT(ADDRESS(INT(ROUNDUP(((ROW())/6), 1)) + (2+'Исходная информация'!$N$2), 1, 1, 1, "Исходная информация"))</f>
        <v>Наименование: монитор пациента Vista русифицированный</v>
      </c>
      <c r="D7" s="17"/>
      <c r="E7" s="14" t="str">
        <f ca="1">"Наименование: " &amp; INDIRECT(ADDRESS(INT(ROUNDUP(((ROW())/6), 1)) + (2+'Исходная информация'!$N$3), 1, 1, 1, "Исходная информация"))</f>
        <v>Наименование: Инкубатор для одного перемешивателя тромбоцитов на 15 доз РС 1</v>
      </c>
      <c r="F7" s="5"/>
      <c r="G7" s="5"/>
      <c r="H7" s="5"/>
    </row>
    <row r="8" spans="1:8" ht="14.1" customHeight="1" x14ac:dyDescent="0.25">
      <c r="A8" s="15" t="str">
        <f t="shared" ref="A8" ca="1" si="1">"Инв. №: " &amp; INDIRECT(ADDRESS(INT(ROUNDUP(((ROW())/6), 1)) + 2, 2, 1, 1, "Исходная информация"))</f>
        <v>Инв. №: 000410124.04.80191242</v>
      </c>
      <c r="B8" s="18"/>
      <c r="C8" s="15" t="str">
        <f ca="1">"Инв. №: " &amp; INDIRECT(ADDRESS(INT(ROUNDUP(((ROW())/6), 1)) + (2+'Исходная информация'!$N$2), 2, 1, 1, "Исходная информация"))</f>
        <v>Инв. №: 000410124.04.5813</v>
      </c>
      <c r="D8" s="18"/>
      <c r="E8" s="15" t="str">
        <f ca="1">"Инв. №: " &amp; INDIRECT(ADDRESS(INT(ROUNDUP(((ROW())/6), 1)) + (2+'Исходная информация'!$N$3), 2, 1, 1, "Исходная информация"))</f>
        <v>Инв. №: 14153</v>
      </c>
      <c r="F8" s="7"/>
      <c r="G8" s="7"/>
      <c r="H8" s="7"/>
    </row>
    <row r="9" spans="1:8" ht="14.1" customHeight="1" x14ac:dyDescent="0.25">
      <c r="A9" s="15" t="str">
        <f t="shared" ref="A9" ca="1" si="2">"Периодичность ТО: " &amp; INDIRECT(ADDRESS(INT(ROUNDUP(((ROW())/6), 1)) + 2, 3, 1, 1, "Исходная информация"))</f>
        <v>Периодичность ТО: 1 год</v>
      </c>
      <c r="B9" s="18"/>
      <c r="C9" s="15" t="str">
        <f ca="1">"Периодичность ТО: " &amp; INDIRECT(ADDRESS(INT(ROUNDUP(((ROW())/6), 1)) + (2+'Исходная информация'!$N$2), 3, 1, 1, "Исходная информация"))</f>
        <v>Периодичность ТО: 1 год</v>
      </c>
      <c r="D9" s="18"/>
      <c r="E9" s="15" t="str">
        <f ca="1">"Периодичность ТО: " &amp; INDIRECT(ADDRESS(INT(ROUNDUP(((ROW())/6), 1)) + (2+'Исходная информация'!$N$3), 3, 1, 1, "Исходная информация"))</f>
        <v>Периодичность ТО: 1 год</v>
      </c>
      <c r="F9" s="7"/>
      <c r="G9" s="7"/>
      <c r="H9" s="7"/>
    </row>
    <row r="10" spans="1:8" ht="14.1" customHeight="1" x14ac:dyDescent="0.25">
      <c r="A10" s="15" t="str">
        <f t="shared" ref="A10" ca="1" si="3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Октябрь 2024 г.</v>
      </c>
      <c r="B10" s="18"/>
      <c r="C10" s="15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Октябрь 2024 г.</v>
      </c>
      <c r="D10" s="18"/>
      <c r="E10" s="15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Октябрь 2024 г.</v>
      </c>
      <c r="F10" s="7"/>
      <c r="G10" s="7"/>
      <c r="H10" s="7"/>
    </row>
    <row r="11" spans="1:8" ht="14.1" customHeight="1" x14ac:dyDescent="0.25">
      <c r="A11" s="15" t="str">
        <f t="shared" ref="A11" ca="1" si="4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Октябрь 2025 г.</v>
      </c>
      <c r="B11" s="18"/>
      <c r="C11" s="15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Октябрь 2025 г.</v>
      </c>
      <c r="D11" s="18"/>
      <c r="E11" s="15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Октябрь 2025 г.</v>
      </c>
      <c r="F11" s="7"/>
      <c r="G11" s="7"/>
      <c r="H11" s="7"/>
    </row>
    <row r="12" spans="1:8" s="3" customFormat="1" ht="15.75" customHeight="1" x14ac:dyDescent="0.25">
      <c r="A12" s="16" t="str">
        <f t="shared" ref="A12" ca="1" si="5">"Инженер ОЭиРМО: " &amp; INDIRECT(ADDRESS(INT(ROUNDUP(((ROW())/6), 1)) + 2, 7, 1, 1, "Исходная информация"))</f>
        <v>Инженер ОЭиРМО: Игнатов А.Е.</v>
      </c>
      <c r="B12" s="19"/>
      <c r="C12" s="16" t="str">
        <f ca="1">"Инженер ОЭиРМО: " &amp; INDIRECT(ADDRESS(INT(ROUNDUP(((ROW())/6), 1)) + (2+'Исходная информация'!$N$2), 7, 1, 1, "Исходная информация"))</f>
        <v>Инженер ОЭиРМО: Игнатов А.Е.</v>
      </c>
      <c r="D12" s="19"/>
      <c r="E12" s="16" t="str">
        <f ca="1">"Инженер ОЭиРМО: " &amp; INDIRECT(ADDRESS(INT(ROUNDUP(((ROW())/6), 1)) + (2+'Исходная информация'!$N$3), 7, 1, 1, "Исходная информация"))</f>
        <v>Инженер ОЭиРМО: Тангиров А.Р.</v>
      </c>
      <c r="F12" s="9"/>
      <c r="G12" s="9"/>
      <c r="H12" s="9"/>
    </row>
    <row r="13" spans="1:8" ht="38.25" customHeight="1" x14ac:dyDescent="0.25">
      <c r="A13" s="14" t="str">
        <f t="shared" ref="A13" ca="1" si="6">"Наименование: " &amp; INDIRECT(ADDRESS(INT(ROUNDUP(((ROW())/6), 1)) + 2, 1, 1, 1, "Исходная информация"))</f>
        <v>Наименование: Монитор  глубины наркоза и седации              А-2000XP на основе биспектрального ЭЭГ-индекса (BIS)</v>
      </c>
      <c r="B13" s="18"/>
      <c r="C13" s="14" t="str">
        <f ca="1">"Наименование: " &amp; INDIRECT(ADDRESS(INT(ROUNDUP(((ROW())/6), 1)) + (2+'Исходная информация'!$N$2), 1, 1, 1, "Исходная информация"))</f>
        <v>Наименование: монитор пациента Vista русифицированный</v>
      </c>
      <c r="D13" s="18"/>
      <c r="E13" s="14" t="str">
        <f ca="1">"Наименование: " &amp; INDIRECT(ADDRESS(INT(ROUNDUP(((ROW())/6), 1)) + (2+'Исходная информация'!$N$3), 1, 1, 1, "Исходная информация"))</f>
        <v>Наименование: Прибор поиска нервных сплетений при регионарной анестезии MultiStimSwitch</v>
      </c>
      <c r="F13" s="7"/>
      <c r="G13" s="7"/>
      <c r="H13" s="7"/>
    </row>
    <row r="14" spans="1:8" ht="14.1" customHeight="1" x14ac:dyDescent="0.25">
      <c r="A14" s="15" t="str">
        <f t="shared" ref="A14" ca="1" si="7">"Инв. №: " &amp; INDIRECT(ADDRESS(INT(ROUNDUP(((ROW())/6), 1)) + 2, 2, 1, 1, "Исходная информация"))</f>
        <v>Инв. №: 000410124.04.80191243</v>
      </c>
      <c r="B14" s="18"/>
      <c r="C14" s="15" t="str">
        <f ca="1">"Инв. №: " &amp; INDIRECT(ADDRESS(INT(ROUNDUP(((ROW())/6), 1)) + (2+'Исходная информация'!$N$2), 2, 1, 1, "Исходная информация"))</f>
        <v>Инв. №: 000410124.04.5815</v>
      </c>
      <c r="D14" s="18"/>
      <c r="E14" s="15" t="str">
        <f ca="1">"Инв. №: " &amp; INDIRECT(ADDRESS(INT(ROUNDUP(((ROW())/6), 1)) + (2+'Исходная информация'!$N$3), 2, 1, 1, "Исходная информация"))</f>
        <v>Инв. №: 4836</v>
      </c>
      <c r="F14" s="7"/>
      <c r="G14" s="7"/>
      <c r="H14" s="7"/>
    </row>
    <row r="15" spans="1:8" ht="14.1" customHeight="1" x14ac:dyDescent="0.25">
      <c r="A15" s="15" t="str">
        <f t="shared" ref="A15" ca="1" si="8">"Периодичность ТО: " &amp; INDIRECT(ADDRESS(INT(ROUNDUP(((ROW())/6), 1)) + 2, 3, 1, 1, "Исходная информация"))</f>
        <v>Периодичность ТО: 1 год</v>
      </c>
      <c r="B15" s="18"/>
      <c r="C15" s="15" t="str">
        <f ca="1">"Периодичность ТО: " &amp; INDIRECT(ADDRESS(INT(ROUNDUP(((ROW())/6), 1)) + (2+'Исходная информация'!$N$2), 3, 1, 1, "Исходная информация"))</f>
        <v>Периодичность ТО: 1 год</v>
      </c>
      <c r="D15" s="18"/>
      <c r="E15" s="15" t="str">
        <f ca="1">"Периодичность ТО: " &amp; INDIRECT(ADDRESS(INT(ROUNDUP(((ROW())/6), 1)) + (2+'Исходная информация'!$N$3), 3, 1, 1, "Исходная информация"))</f>
        <v>Периодичность ТО: 1 год</v>
      </c>
      <c r="F15" s="7"/>
      <c r="G15" s="7"/>
      <c r="H15" s="7"/>
    </row>
    <row r="16" spans="1:8" ht="14.1" customHeight="1" x14ac:dyDescent="0.25">
      <c r="A16" s="15" t="str">
        <f t="shared" ref="A16" ca="1" si="9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Октябрь 2024 г.</v>
      </c>
      <c r="B16" s="18"/>
      <c r="C16" s="15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Октябрь 2024 г.</v>
      </c>
      <c r="D16" s="18"/>
      <c r="E16" s="15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Октябрь 2024 г.</v>
      </c>
      <c r="F16" s="7"/>
      <c r="G16" s="7"/>
      <c r="H16" s="7"/>
    </row>
    <row r="17" spans="1:8" ht="14.1" customHeight="1" x14ac:dyDescent="0.25">
      <c r="A17" s="15" t="str">
        <f t="shared" ref="A17" ca="1" si="10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Октябрь 2025 г.</v>
      </c>
      <c r="B17" s="18"/>
      <c r="C17" s="15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Октябрь 2025 г.</v>
      </c>
      <c r="D17" s="18"/>
      <c r="E17" s="15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Октябрь 2025 г.</v>
      </c>
      <c r="F17" s="7"/>
      <c r="G17" s="7"/>
      <c r="H17" s="7"/>
    </row>
    <row r="18" spans="1:8" s="3" customFormat="1" ht="27" customHeight="1" x14ac:dyDescent="0.25">
      <c r="A18" s="16" t="str">
        <f t="shared" ref="A18" ca="1" si="11">"Инженер ОЭиРМО: " &amp; INDIRECT(ADDRESS(INT(ROUNDUP(((ROW())/6), 1)) + 2, 7, 1, 1, "Исходная информация"))</f>
        <v>Инженер ОЭиРМО: Игнатов А.Е.</v>
      </c>
      <c r="B18" s="19"/>
      <c r="C18" s="16" t="str">
        <f ca="1">"Инженер ОЭиРМО: " &amp; INDIRECT(ADDRESS(INT(ROUNDUP(((ROW())/6), 1)) + (2+'Исходная информация'!$N$2), 7, 1, 1, "Исходная информация"))</f>
        <v>Инженер ОЭиРМО: Игнатов А.Е.</v>
      </c>
      <c r="D18" s="19"/>
      <c r="E18" s="16" t="str">
        <f ca="1">"Инженер ОЭиРМО: " &amp; INDIRECT(ADDRESS(INT(ROUNDUP(((ROW())/6), 1)) + (2+'Исходная информация'!$N$3), 7, 1, 1, "Исходная информация"))</f>
        <v>Инженер ОЭиРМО: Тангиров А.Р.</v>
      </c>
      <c r="F18" s="9"/>
      <c r="G18" s="9"/>
      <c r="H18" s="9"/>
    </row>
    <row r="19" spans="1:8" s="2" customFormat="1" ht="31.35" customHeight="1" x14ac:dyDescent="0.25">
      <c r="A19" s="14" t="str">
        <f t="shared" ref="A19" ca="1" si="12">"Наименование: " &amp; INDIRECT(ADDRESS(INT(ROUNDUP(((ROW())/6), 1)) + 2, 1, 1, 1, "Исходная информация"))</f>
        <v>Наименование: аппарат для быстрого размораживания плазмы</v>
      </c>
      <c r="B19" s="17"/>
      <c r="C19" s="14" t="str">
        <f ca="1">"Наименование: " &amp; INDIRECT(ADDRESS(INT(ROUNDUP(((ROW())/6), 1)) + (2+'Исходная информация'!$N$2), 1, 1, 1, "Исходная информация"))</f>
        <v>Наименование: система для обогрева пациента WarmTouch</v>
      </c>
      <c r="D19" s="17"/>
      <c r="E19" s="14" t="str">
        <f ca="1">"Наименование: " &amp; INDIRECT(ADDRESS(INT(ROUNDUP(((ROW())/6), 1)) + (2+'Исходная информация'!$N$3), 1, 1, 1, "Исходная информация"))</f>
        <v>Наименование: монитор мультипараметрический</v>
      </c>
      <c r="F19" s="5"/>
      <c r="G19" s="5"/>
      <c r="H19" s="5"/>
    </row>
    <row r="20" spans="1:8" ht="14.1" customHeight="1" x14ac:dyDescent="0.25">
      <c r="A20" s="15" t="str">
        <f t="shared" ref="A20" ca="1" si="13">"Инв. №: " &amp; INDIRECT(ADDRESS(INT(ROUNDUP(((ROW())/6), 1)) + 2, 2, 1, 1, "Исходная информация"))</f>
        <v>Инв. №: 000410124.04.80191753</v>
      </c>
      <c r="B20" s="18"/>
      <c r="C20" s="15" t="str">
        <f ca="1">"Инв. №: " &amp; INDIRECT(ADDRESS(INT(ROUNDUP(((ROW())/6), 1)) + (2+'Исходная информация'!$N$2), 2, 1, 1, "Исходная информация"))</f>
        <v>Инв. №: 000410124.04.80191735</v>
      </c>
      <c r="D20" s="18"/>
      <c r="E20" s="15" t="str">
        <f ca="1">"Инв. №: " &amp; INDIRECT(ADDRESS(INT(ROUNDUP(((ROW())/6), 1)) + (2+'Исходная информация'!$N$3), 2, 1, 1, "Исходная информация"))</f>
        <v>Инв. №: 004410124.04.101</v>
      </c>
      <c r="F20" s="7"/>
      <c r="G20" s="7"/>
      <c r="H20" s="7"/>
    </row>
    <row r="21" spans="1:8" ht="14.1" customHeight="1" x14ac:dyDescent="0.25">
      <c r="A21" s="15" t="str">
        <f t="shared" ref="A21" ca="1" si="14">"Периодичность ТО: " &amp; INDIRECT(ADDRESS(INT(ROUNDUP(((ROW())/6), 1)) + 2, 3, 1, 1, "Исходная информация"))</f>
        <v>Периодичность ТО: 1 год</v>
      </c>
      <c r="B21" s="18"/>
      <c r="C21" s="15" t="str">
        <f ca="1">"Периодичность ТО: " &amp; INDIRECT(ADDRESS(INT(ROUNDUP(((ROW())/6), 1)) + (2+'Исходная информация'!$N$2), 3, 1, 1, "Исходная информация"))</f>
        <v>Периодичность ТО: 1 год</v>
      </c>
      <c r="D21" s="18"/>
      <c r="E21" s="15" t="str">
        <f ca="1">"Периодичность ТО: " &amp; INDIRECT(ADDRESS(INT(ROUNDUP(((ROW())/6), 1)) + (2+'Исходная информация'!$N$3), 3, 1, 1, "Исходная информация"))</f>
        <v>Периодичность ТО: 1 год</v>
      </c>
      <c r="F21" s="7"/>
      <c r="G21" s="7"/>
      <c r="H21" s="7"/>
    </row>
    <row r="22" spans="1:8" ht="14.1" customHeight="1" x14ac:dyDescent="0.25">
      <c r="A22" s="15" t="str">
        <f t="shared" ref="A22" ca="1" si="15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Октябрь 2024 г.</v>
      </c>
      <c r="B22" s="18"/>
      <c r="C22" s="15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Октябрь 2024 г.</v>
      </c>
      <c r="D22" s="18"/>
      <c r="E22" s="15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Октябрь 2024 г.</v>
      </c>
      <c r="F22" s="7"/>
      <c r="G22" s="7"/>
      <c r="H22" s="7"/>
    </row>
    <row r="23" spans="1:8" ht="14.1" customHeight="1" x14ac:dyDescent="0.25">
      <c r="A23" s="15" t="str">
        <f t="shared" ref="A23" ca="1" si="16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Октябрь 2025 г.</v>
      </c>
      <c r="B23" s="18"/>
      <c r="C23" s="15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Октябрь 2025 г.</v>
      </c>
      <c r="D23" s="18"/>
      <c r="E23" s="15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Октябрь 2025 г.</v>
      </c>
      <c r="F23" s="7"/>
      <c r="G23" s="7"/>
      <c r="H23" s="7"/>
    </row>
    <row r="24" spans="1:8" s="3" customFormat="1" ht="24" customHeight="1" x14ac:dyDescent="0.25">
      <c r="A24" s="16" t="str">
        <f t="shared" ref="A24" ca="1" si="17">"Инженер ОЭиРМО: " &amp; INDIRECT(ADDRESS(INT(ROUNDUP(((ROW())/6), 1)) + 2, 7, 1, 1, "Исходная информация"))</f>
        <v>Инженер ОЭиРМО: Тангиров А.Р.</v>
      </c>
      <c r="B24" s="19"/>
      <c r="C24" s="16" t="str">
        <f ca="1">"Инженер ОЭиРМО: " &amp; INDIRECT(ADDRESS(INT(ROUNDUP(((ROW())/6), 1)) + (2+'Исходная информация'!$N$2), 7, 1, 1, "Исходная информация"))</f>
        <v>Инженер ОЭиРМО: Тангиров А.Р.</v>
      </c>
      <c r="D24" s="19"/>
      <c r="E24" s="16" t="str">
        <f ca="1">"Инженер ОЭиРМО: " &amp; INDIRECT(ADDRESS(INT(ROUNDUP(((ROW())/6), 1)) + (2+'Исходная информация'!$N$3), 7, 1, 1, "Исходная информация"))</f>
        <v>Инженер ОЭиРМО: Игнатов А.Е.</v>
      </c>
      <c r="F24" s="9"/>
      <c r="G24" s="9"/>
      <c r="H24" s="9"/>
    </row>
    <row r="25" spans="1:8" s="2" customFormat="1" ht="37.5" customHeight="1" x14ac:dyDescent="0.25">
      <c r="A25" s="14" t="str">
        <f t="shared" ref="A25" ca="1" si="18">"Наименование: " &amp; INDIRECT(ADDRESS(INT(ROUNDUP(((ROW())/6), 1)) + 2, 1, 1, 1, "Исходная информация"))</f>
        <v>Наименование: монитор для определения сердечного выброса неинвазивным методом  NIKO</v>
      </c>
      <c r="B25" s="17"/>
      <c r="C25" s="14" t="str">
        <f ca="1">"Наименование: " &amp; INDIRECT(ADDRESS(INT(ROUNDUP(((ROW())/6), 1)) + (2+'Исходная информация'!$N$2), 1, 1, 1, "Исходная информация"))</f>
        <v>Наименование: система для обогрева пациента WarmTouch</v>
      </c>
      <c r="D25" s="17"/>
      <c r="E25" s="14" t="str">
        <f ca="1">"Наименование: " &amp; INDIRECT(ADDRESS(INT(ROUNDUP(((ROW())/6), 1)) + (2+'Исходная информация'!$N$3), 1, 1, 1, "Исходная информация"))</f>
        <v>Наименование: монитор мультипараметрический анестезиолога IntelliVueMP40</v>
      </c>
      <c r="F25" s="5"/>
      <c r="G25" s="5"/>
      <c r="H25" s="5"/>
    </row>
    <row r="26" spans="1:8" ht="14.1" customHeight="1" x14ac:dyDescent="0.25">
      <c r="A26" s="15" t="str">
        <f t="shared" ref="A26" ca="1" si="19">"Инв. №: " &amp; INDIRECT(ADDRESS(INT(ROUNDUP(((ROW())/6), 1)) + 2, 2, 1, 1, "Исходная информация"))</f>
        <v>Инв. №: 000410124.04.80191668</v>
      </c>
      <c r="B26" s="18"/>
      <c r="C26" s="15" t="str">
        <f ca="1">"Инв. №: " &amp; INDIRECT(ADDRESS(INT(ROUNDUP(((ROW())/6), 1)) + (2+'Исходная информация'!$N$2), 2, 1, 1, "Исходная информация"))</f>
        <v>Инв. №: 000410124.04.80191736</v>
      </c>
      <c r="D26" s="18"/>
      <c r="E26" s="15" t="str">
        <f ca="1">"Инв. №: " &amp; INDIRECT(ADDRESS(INT(ROUNDUP(((ROW())/6), 1)) + (2+'Исходная информация'!$N$3), 2, 1, 1, "Исходная информация"))</f>
        <v>Инв. №: 004410124.04.102</v>
      </c>
      <c r="F26" s="7"/>
      <c r="G26" s="7"/>
      <c r="H26" s="7"/>
    </row>
    <row r="27" spans="1:8" ht="14.1" customHeight="1" x14ac:dyDescent="0.25">
      <c r="A27" s="15" t="str">
        <f t="shared" ref="A27" ca="1" si="20">"Периодичность ТО: " &amp; INDIRECT(ADDRESS(INT(ROUNDUP(((ROW())/6), 1)) + 2, 3, 1, 1, "Исходная информация"))</f>
        <v>Периодичность ТО: 1 год</v>
      </c>
      <c r="B27" s="18"/>
      <c r="C27" s="15" t="str">
        <f ca="1">"Периодичность ТО: " &amp; INDIRECT(ADDRESS(INT(ROUNDUP(((ROW())/6), 1)) + (2+'Исходная информация'!$N$2), 3, 1, 1, "Исходная информация"))</f>
        <v>Периодичность ТО: 1 год</v>
      </c>
      <c r="D27" s="18"/>
      <c r="E27" s="15" t="str">
        <f ca="1">"Периодичность ТО: " &amp; INDIRECT(ADDRESS(INT(ROUNDUP(((ROW())/6), 1)) + (2+'Исходная информация'!$N$3), 3, 1, 1, "Исходная информация"))</f>
        <v>Периодичность ТО: 1 год</v>
      </c>
      <c r="F27" s="7"/>
      <c r="G27" s="7"/>
      <c r="H27" s="7"/>
    </row>
    <row r="28" spans="1:8" ht="14.1" customHeight="1" x14ac:dyDescent="0.25">
      <c r="A28" s="15" t="str">
        <f t="shared" ref="A28" ca="1" si="21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Октябрь 2024 г.</v>
      </c>
      <c r="B28" s="18"/>
      <c r="C28" s="15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Октябрь 2024 г.</v>
      </c>
      <c r="D28" s="18"/>
      <c r="E28" s="15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Октябрь 2024 г.</v>
      </c>
      <c r="F28" s="7"/>
      <c r="G28" s="7"/>
      <c r="H28" s="7"/>
    </row>
    <row r="29" spans="1:8" ht="14.1" customHeight="1" x14ac:dyDescent="0.25">
      <c r="A29" s="15" t="str">
        <f t="shared" ref="A29" ca="1" si="22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Октябрь 2025 г.</v>
      </c>
      <c r="B29" s="18"/>
      <c r="C29" s="15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Октябрь 2025 г.</v>
      </c>
      <c r="D29" s="18"/>
      <c r="E29" s="15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Октябрь 2025 г.</v>
      </c>
      <c r="F29" s="7"/>
      <c r="G29" s="7"/>
      <c r="H29" s="7"/>
    </row>
    <row r="30" spans="1:8" s="3" customFormat="1" ht="37.5" customHeight="1" x14ac:dyDescent="0.25">
      <c r="A30" s="16" t="str">
        <f t="shared" ref="A30" ca="1" si="23">"Инженер ОЭиРМО: " &amp; INDIRECT(ADDRESS(INT(ROUNDUP(((ROW())/6), 1)) + 2, 7, 1, 1, "Исходная информация"))</f>
        <v>Инженер ОЭиРМО: Игнатов А.Е.</v>
      </c>
      <c r="B30" s="19"/>
      <c r="C30" s="16" t="str">
        <f ca="1">"Инженер ОЭиРМО: " &amp; INDIRECT(ADDRESS(INT(ROUNDUP(((ROW())/6), 1)) + (2+'Исходная информация'!$N$2), 7, 1, 1, "Исходная информация"))</f>
        <v>Инженер ОЭиРМО: Тангиров А.Р.</v>
      </c>
      <c r="D30" s="19"/>
      <c r="E30" s="16" t="str">
        <f ca="1">"Инженер ОЭиРМО: " &amp; INDIRECT(ADDRESS(INT(ROUNDUP(((ROW())/6), 1)) + (2+'Исходная информация'!$N$3), 7, 1, 1, "Исходная информация"))</f>
        <v>Инженер ОЭиРМО: Игнатов А.Е.</v>
      </c>
      <c r="F30" s="9"/>
      <c r="G30" s="9"/>
      <c r="H30" s="9"/>
    </row>
    <row r="31" spans="1:8" s="2" customFormat="1" ht="31.35" customHeight="1" x14ac:dyDescent="0.25">
      <c r="A31" s="14" t="str">
        <f t="shared" ref="A31" ca="1" si="24">"Наименование: " &amp; INDIRECT(ADDRESS(INT(ROUNDUP(((ROW())/6), 1)) + 2, 1, 1, 1, "Исходная информация"))</f>
        <v>Наименование: монитор для определения сердечного выброса неинвазивным методом  NIСO</v>
      </c>
      <c r="B31" s="17"/>
      <c r="C31" s="14" t="str">
        <f ca="1">"Наименование: " &amp; INDIRECT(ADDRESS(INT(ROUNDUP(((ROW())/6), 1)) + (2+'Исходная информация'!$N$2), 1, 1, 1, "Исходная информация"))</f>
        <v>Наименование: устройство для обогрева пациента</v>
      </c>
      <c r="D31" s="17"/>
      <c r="E31" s="14" t="str">
        <f ca="1">"Наименование: " &amp; INDIRECT(ADDRESS(INT(ROUNDUP(((ROW())/6), 1)) + (2+'Исходная информация'!$N$3),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F31" s="5"/>
      <c r="G31" s="5"/>
      <c r="H31" s="5"/>
    </row>
    <row r="32" spans="1:8" ht="14.1" customHeight="1" x14ac:dyDescent="0.25">
      <c r="A32" s="15" t="str">
        <f t="shared" ref="A32" ca="1" si="25">"Инв. №: " &amp; INDIRECT(ADDRESS(INT(ROUNDUP(((ROW())/6), 1)) + 2, 2, 1, 1, "Исходная информация"))</f>
        <v>Инв. №: 000410124.04.80191898</v>
      </c>
      <c r="B32" s="18"/>
      <c r="C32" s="15" t="str">
        <f ca="1">"Инв. №: " &amp; INDIRECT(ADDRESS(INT(ROUNDUP(((ROW())/6), 1)) + (2+'Исходная информация'!$N$2), 2, 1, 1, "Исходная информация"))</f>
        <v>Инв. №: 000410124.04.80191544</v>
      </c>
      <c r="D32" s="18"/>
      <c r="E32" s="15" t="str">
        <f ca="1">"Инв. №: " &amp; INDIRECT(ADDRESS(INT(ROUNDUP(((ROW())/6), 1)) + (2+'Исходная информация'!$N$3), 2, 1, 1, "Исходная информация"))</f>
        <v>Инв. №: 004410124.04.110</v>
      </c>
      <c r="F32" s="7"/>
      <c r="G32" s="7"/>
      <c r="H32" s="7"/>
    </row>
    <row r="33" spans="1:8" ht="14.1" customHeight="1" x14ac:dyDescent="0.25">
      <c r="A33" s="15" t="str">
        <f t="shared" ref="A33" ca="1" si="26">"Периодичность ТО: " &amp; INDIRECT(ADDRESS(INT(ROUNDUP(((ROW())/6), 1)) + 2, 3, 1, 1, "Исходная информация"))</f>
        <v>Периодичность ТО: 1 год</v>
      </c>
      <c r="B33" s="18"/>
      <c r="C33" s="15" t="str">
        <f ca="1">"Периодичность ТО: " &amp; INDIRECT(ADDRESS(INT(ROUNDUP(((ROW())/6), 1)) + (2+'Исходная информация'!$N$2), 3, 1, 1, "Исходная информация"))</f>
        <v>Периодичность ТО: 1 год</v>
      </c>
      <c r="D33" s="18"/>
      <c r="E33" s="15" t="str">
        <f ca="1">"Периодичность ТО: " &amp; INDIRECT(ADDRESS(INT(ROUNDUP(((ROW())/6), 1)) + (2+'Исходная информация'!$N$3), 3, 1, 1, "Исходная информация"))</f>
        <v>Периодичность ТО: 1 год</v>
      </c>
      <c r="F33" s="7"/>
      <c r="G33" s="7"/>
      <c r="H33" s="7"/>
    </row>
    <row r="34" spans="1:8" ht="14.1" customHeight="1" x14ac:dyDescent="0.25">
      <c r="A34" s="15" t="str">
        <f t="shared" ref="A34" ca="1" si="27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Октябрь 2024 г.</v>
      </c>
      <c r="B34" s="18"/>
      <c r="C34" s="15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Октябрь 2024 г.</v>
      </c>
      <c r="D34" s="18"/>
      <c r="E34" s="15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Октябрь 2024 г.</v>
      </c>
      <c r="F34" s="7"/>
      <c r="G34" s="7"/>
      <c r="H34" s="7"/>
    </row>
    <row r="35" spans="1:8" ht="14.1" customHeight="1" x14ac:dyDescent="0.25">
      <c r="A35" s="15" t="str">
        <f t="shared" ref="A35" ca="1" si="28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Октябрь 2025 г.</v>
      </c>
      <c r="B35" s="18"/>
      <c r="C35" s="15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Октябрь 2025 г.</v>
      </c>
      <c r="D35" s="18"/>
      <c r="E35" s="15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Октябрь 2025 г.</v>
      </c>
      <c r="F35" s="7"/>
      <c r="G35" s="7"/>
      <c r="H35" s="7"/>
    </row>
    <row r="36" spans="1:8" s="3" customFormat="1" ht="22.5" customHeight="1" x14ac:dyDescent="0.25">
      <c r="A36" s="16" t="str">
        <f t="shared" ref="A36" ca="1" si="29">"Инженер ОЭиРМО: " &amp; INDIRECT(ADDRESS(INT(ROUNDUP(((ROW())/6), 1)) + 2, 7, 1, 1, "Исходная информация"))</f>
        <v>Инженер ОЭиРМО: Игнатов А.Е.</v>
      </c>
      <c r="B36" s="19"/>
      <c r="C36" s="16" t="str">
        <f ca="1">"Инженер ОЭиРМО: " &amp; INDIRECT(ADDRESS(INT(ROUNDUP(((ROW())/6), 1)) + (2+'Исходная информация'!$N$2), 7, 1, 1, "Исходная информация"))</f>
        <v>Инженер ОЭиРМО: Тангиров А.Р.</v>
      </c>
      <c r="D36" s="19"/>
      <c r="E36" s="16" t="str">
        <f ca="1">"Инженер ОЭиРМО: " &amp; INDIRECT(ADDRESS(INT(ROUNDUP(((ROW())/6), 1)) + (2+'Исходная информация'!$N$3), 7, 1, 1, "Исходная информация"))</f>
        <v>Инженер ОЭиРМО: Игнатов А.Е.</v>
      </c>
      <c r="F36" s="9"/>
      <c r="G36" s="9"/>
      <c r="H36" s="9"/>
    </row>
    <row r="37" spans="1:8" s="2" customFormat="1" ht="31.35" customHeight="1" x14ac:dyDescent="0.25">
      <c r="A37" s="14" t="str">
        <f t="shared" ref="A37" ca="1" si="30">"Наименование: " &amp; INDIRECT(ADDRESS(INT(ROUNDUP(((ROW())/6), 1)) + 2, 1, 1, 1, "Исходная информация"))</f>
        <v>Наименование: аппарат для подогрева крови</v>
      </c>
      <c r="B37" s="17"/>
      <c r="C37" s="14" t="str">
        <f ca="1">"Наименование: " &amp; INDIRECT(ADDRESS(INT(ROUNDUP(((ROW())/6), 1)) + (2+'Исходная информация'!$N$2), 1, 1, 1, "Исходная информация"))</f>
        <v>Наименование: Размораживатель плазмы ЭРП-4-01</v>
      </c>
      <c r="D37" s="17"/>
      <c r="E37" s="14" t="str">
        <f ca="1">"Наименование: " &amp; INDIRECT(ADDRESS(INT(ROUNDUP(((ROW())/6), 1)) + (2+'Исходная информация'!$N$3), 1, 1, 1, "Исходная информация"))</f>
        <v>Наименование: Монитор  глубины наркоза и седации А-2000 ХР с системой измерения биспектрального индекса (Вis )</v>
      </c>
      <c r="F37" s="5"/>
      <c r="G37" s="5"/>
      <c r="H37" s="5"/>
    </row>
    <row r="38" spans="1:8" ht="14.1" customHeight="1" x14ac:dyDescent="0.25">
      <c r="A38" s="15" t="str">
        <f t="shared" ref="A38" ca="1" si="31">"Инв. №: " &amp; INDIRECT(ADDRESS(INT(ROUNDUP(((ROW())/6), 1)) + 2, 2, 1, 1, "Исходная информация"))</f>
        <v>Инв. №: 000410124.04.80191755</v>
      </c>
      <c r="B38" s="18"/>
      <c r="C38" s="15" t="str">
        <f ca="1">"Инв. №: " &amp; INDIRECT(ADDRESS(INT(ROUNDUP(((ROW())/6), 1)) + (2+'Исходная информация'!$N$2), 2, 1, 1, "Исходная информация"))</f>
        <v>Инв. №: 00410124.04.80191120</v>
      </c>
      <c r="D38" s="18"/>
      <c r="E38" s="15" t="str">
        <f ca="1">"Инв. №: " &amp; INDIRECT(ADDRESS(INT(ROUNDUP(((ROW())/6), 1)) + (2+'Исходная информация'!$N$3), 2, 1, 1, "Исходная информация"))</f>
        <v>Инв. №: 004410124.04.111</v>
      </c>
      <c r="F38" s="7"/>
      <c r="G38" s="7"/>
      <c r="H38" s="7"/>
    </row>
    <row r="39" spans="1:8" ht="14.1" customHeight="1" x14ac:dyDescent="0.25">
      <c r="A39" s="15" t="str">
        <f t="shared" ref="A39" ca="1" si="32">"Периодичность ТО: " &amp; INDIRECT(ADDRESS(INT(ROUNDUP(((ROW())/6), 1)) + 2, 3, 1, 1, "Исходная информация"))</f>
        <v>Периодичность ТО: 1 год</v>
      </c>
      <c r="B39" s="18"/>
      <c r="C39" s="15" t="str">
        <f ca="1">"Периодичность ТО: " &amp; INDIRECT(ADDRESS(INT(ROUNDUP(((ROW())/6), 1)) + (2+'Исходная информация'!$N$2), 3, 1, 1, "Исходная информация"))</f>
        <v>Периодичность ТО: 1 год</v>
      </c>
      <c r="D39" s="18"/>
      <c r="E39" s="15" t="str">
        <f ca="1">"Периодичность ТО: " &amp; INDIRECT(ADDRESS(INT(ROUNDUP(((ROW())/6), 1)) + (2+'Исходная информация'!$N$3), 3, 1, 1, "Исходная информация"))</f>
        <v>Периодичность ТО: 1 год</v>
      </c>
      <c r="F39" s="7"/>
      <c r="G39" s="7"/>
      <c r="H39" s="7"/>
    </row>
    <row r="40" spans="1:8" ht="14.1" customHeight="1" x14ac:dyDescent="0.25">
      <c r="A40" s="15" t="str">
        <f t="shared" ref="A40" ca="1" si="33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Октябрь 2024 г.</v>
      </c>
      <c r="B40" s="18"/>
      <c r="C40" s="15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Октябрь 2024 г.</v>
      </c>
      <c r="D40" s="18"/>
      <c r="E40" s="15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Октябрь 2024 г.</v>
      </c>
      <c r="F40" s="7"/>
      <c r="G40" s="7"/>
      <c r="H40" s="7"/>
    </row>
    <row r="41" spans="1:8" ht="14.1" customHeight="1" x14ac:dyDescent="0.25">
      <c r="A41" s="15" t="str">
        <f t="shared" ref="A41" ca="1" si="34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Октябрь 2025 г.</v>
      </c>
      <c r="B41" s="18"/>
      <c r="C41" s="15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Октябрь 2025 г.</v>
      </c>
      <c r="D41" s="18"/>
      <c r="E41" s="15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Октябрь 2025 г.</v>
      </c>
      <c r="F41" s="7"/>
      <c r="G41" s="7"/>
      <c r="H41" s="7"/>
    </row>
    <row r="42" spans="1:8" s="3" customFormat="1" ht="23.25" customHeight="1" x14ac:dyDescent="0.25">
      <c r="A42" s="16" t="str">
        <f t="shared" ref="A42" ca="1" si="35">"Инженер ОЭиРМО: " &amp; INDIRECT(ADDRESS(INT(ROUNDUP(((ROW())/6), 1)) + 2, 7, 1, 1, "Исходная информация"))</f>
        <v>Инженер ОЭиРМО: Игнатов А.Е.</v>
      </c>
      <c r="B42" s="19"/>
      <c r="C42" s="16" t="str">
        <f ca="1">"Инженер ОЭиРМО: " &amp; INDIRECT(ADDRESS(INT(ROUNDUP(((ROW())/6), 1)) + (2+'Исходная информация'!$N$2), 7, 1, 1, "Исходная информация"))</f>
        <v>Инженер ОЭиРМО: Тангиров А.Р.</v>
      </c>
      <c r="D42" s="19"/>
      <c r="E42" s="16" t="str">
        <f ca="1">"Инженер ОЭиРМО: " &amp; INDIRECT(ADDRESS(INT(ROUNDUP(((ROW())/6), 1)) + (2+'Исходная информация'!$N$3), 7, 1, 1, "Исходная информация"))</f>
        <v>Инженер ОЭиРМО: Игнатов А.Е.</v>
      </c>
      <c r="F42" s="9"/>
      <c r="G42" s="9"/>
      <c r="H42" s="9"/>
    </row>
    <row r="43" spans="1:8" s="2" customFormat="1" ht="31.35" customHeight="1" x14ac:dyDescent="0.25">
      <c r="A43" s="14" t="str">
        <f t="shared" ref="A43" ca="1" si="36">"Наименование: " &amp; INDIRECT(ADDRESS(INT(ROUNDUP(((ROW())/6), 1)) + 2, 1, 1, 1, "Исходная информация"))</f>
        <v>Наименование: аппарат  искусственной вентиляции легких высокочастотный струйный ИВЛ-ВЧ/100 «ЗисЛайн»</v>
      </c>
      <c r="B43" s="17"/>
      <c r="C43" s="14" t="str">
        <f ca="1">"Наименование: " &amp; INDIRECT(ADDRESS(INT(ROUNDUP(((ROW())/6), 1)) + (2+'Исходная информация'!$N$2), 1, 1, 1, "Исходная информация"))</f>
        <v>Наименование: Размораживатель плазмы крови ЭРП-4-01</v>
      </c>
      <c r="D43" s="17"/>
      <c r="E43" s="14" t="str">
        <f ca="1">"Наименование: " &amp; INDIRECT(ADDRESS(INT(ROUNDUP(((ROW())/6), 1)) + (2+'Исходная информация'!$N$3),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F43" s="5"/>
      <c r="G43" s="5"/>
      <c r="H43" s="5"/>
    </row>
    <row r="44" spans="1:8" ht="14.1" customHeight="1" x14ac:dyDescent="0.25">
      <c r="A44" s="15" t="str">
        <f t="shared" ref="A44" ca="1" si="37">"Инв. №: " &amp; INDIRECT(ADDRESS(INT(ROUNDUP(((ROW())/6), 1)) + 2, 2, 1, 1, "Исходная информация"))</f>
        <v>Инв. №: 000410124.04.80191717</v>
      </c>
      <c r="B44" s="18"/>
      <c r="C44" s="15" t="str">
        <f ca="1">"Инв. №: " &amp; INDIRECT(ADDRESS(INT(ROUNDUP(((ROW())/6), 1)) + (2+'Исходная информация'!$N$2), 2, 1, 1, "Исходная информация"))</f>
        <v>Инв. №: 00410124.04.80191079</v>
      </c>
      <c r="D44" s="18"/>
      <c r="E44" s="15" t="str">
        <f ca="1">"Инв. №: " &amp; INDIRECT(ADDRESS(INT(ROUNDUP(((ROW())/6), 1)) + (2+'Исходная информация'!$N$3), 2, 1, 1, "Исходная информация"))</f>
        <v>Инв. №: 004410124.04.112</v>
      </c>
      <c r="F44" s="7"/>
      <c r="G44" s="7"/>
      <c r="H44" s="7"/>
    </row>
    <row r="45" spans="1:8" ht="14.1" customHeight="1" x14ac:dyDescent="0.25">
      <c r="A45" s="15" t="str">
        <f t="shared" ref="A45" ca="1" si="38">"Периодичность ТО: " &amp; INDIRECT(ADDRESS(INT(ROUNDUP(((ROW())/6), 1)) + 2, 3, 1, 1, "Исходная информация"))</f>
        <v>Периодичность ТО: 1 год</v>
      </c>
      <c r="B45" s="18"/>
      <c r="C45" s="15" t="str">
        <f ca="1">"Периодичность ТО: " &amp; INDIRECT(ADDRESS(INT(ROUNDUP(((ROW())/6), 1)) + (2+'Исходная информация'!$N$2), 3, 1, 1, "Исходная информация"))</f>
        <v>Периодичность ТО: 1 год</v>
      </c>
      <c r="D45" s="18"/>
      <c r="E45" s="15" t="str">
        <f ca="1">"Периодичность ТО: " &amp; INDIRECT(ADDRESS(INT(ROUNDUP(((ROW())/6), 1)) + (2+'Исходная информация'!$N$3), 3, 1, 1, "Исходная информация"))</f>
        <v>Периодичность ТО: 1 год</v>
      </c>
      <c r="F45" s="7"/>
      <c r="G45" s="7"/>
      <c r="H45" s="7"/>
    </row>
    <row r="46" spans="1:8" ht="14.1" customHeight="1" x14ac:dyDescent="0.25">
      <c r="A46" s="15" t="str">
        <f t="shared" ref="A46" ca="1" si="39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Октябрь 2024 г.</v>
      </c>
      <c r="B46" s="18"/>
      <c r="C46" s="15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Октябрь 2024 г.</v>
      </c>
      <c r="D46" s="18"/>
      <c r="E46" s="15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Октябрь 2024 г.</v>
      </c>
      <c r="F46" s="7"/>
      <c r="G46" s="7"/>
      <c r="H46" s="7"/>
    </row>
    <row r="47" spans="1:8" ht="14.1" customHeight="1" x14ac:dyDescent="0.25">
      <c r="A47" s="15" t="str">
        <f t="shared" ref="A47" ca="1" si="40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Октябрь 2025 г.</v>
      </c>
      <c r="B47" s="18"/>
      <c r="C47" s="15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Октябрь 2025 г.</v>
      </c>
      <c r="D47" s="18"/>
      <c r="E47" s="15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Октябрь 2025 г.</v>
      </c>
      <c r="F47" s="7"/>
      <c r="G47" s="7"/>
      <c r="H47" s="7"/>
    </row>
    <row r="48" spans="1:8" s="3" customFormat="1" ht="19.7" customHeight="1" x14ac:dyDescent="0.25">
      <c r="A48" s="16" t="str">
        <f t="shared" ref="A48" ca="1" si="41">"Инженер ОЭиРМО: " &amp; INDIRECT(ADDRESS(INT(ROUNDUP(((ROW())/6), 1)) + 2, 7, 1, 1, "Исходная информация"))</f>
        <v>Инженер ОЭиРМО: Костерин М.И.</v>
      </c>
      <c r="B48" s="19"/>
      <c r="C48" s="16" t="str">
        <f ca="1">"Инженер ОЭиРМО: " &amp; INDIRECT(ADDRESS(INT(ROUNDUP(((ROW())/6), 1)) + (2+'Исходная информация'!$N$2), 7, 1, 1, "Исходная информация"))</f>
        <v>Инженер ОЭиРМО: Тангиров А.Р.</v>
      </c>
      <c r="D48" s="19"/>
      <c r="E48" s="16" t="str">
        <f ca="1">"Инженер ОЭиРМО: " &amp; INDIRECT(ADDRESS(INT(ROUNDUP(((ROW())/6), 1)) + (2+'Исходная информация'!$N$3), 7, 1, 1, "Исходная информация"))</f>
        <v>Инженер ОЭиРМО: Игнатов А.Е.</v>
      </c>
      <c r="F48" s="9"/>
      <c r="G48" s="9"/>
      <c r="H48" s="9"/>
    </row>
    <row r="49" spans="1:8" x14ac:dyDescent="0.25">
      <c r="A49" s="7"/>
      <c r="B49" s="7"/>
      <c r="C49" s="7"/>
      <c r="D49" s="7"/>
      <c r="E49" s="7"/>
      <c r="F49" s="7"/>
      <c r="G49" s="7"/>
      <c r="H49" s="7"/>
    </row>
    <row r="50" spans="1:8" x14ac:dyDescent="0.25">
      <c r="A50" s="7"/>
      <c r="B50" s="7"/>
      <c r="C50" s="7"/>
      <c r="D50" s="7"/>
      <c r="E50" s="7"/>
      <c r="F50" s="7"/>
      <c r="G50" s="7"/>
      <c r="H50" s="7"/>
    </row>
    <row r="51" spans="1:8" x14ac:dyDescent="0.25">
      <c r="A51" s="7"/>
      <c r="B51" s="7"/>
      <c r="C51" s="7"/>
      <c r="D51" s="7"/>
      <c r="E51" s="7"/>
      <c r="F51" s="7"/>
      <c r="G51" s="7"/>
      <c r="H51" s="7"/>
    </row>
    <row r="52" spans="1:8" x14ac:dyDescent="0.25">
      <c r="A52" s="7"/>
      <c r="B52" s="7"/>
      <c r="C52" s="7"/>
      <c r="D52" s="7"/>
      <c r="E52" s="7"/>
      <c r="F52" s="7"/>
      <c r="G52" s="7"/>
      <c r="H52" s="7"/>
    </row>
    <row r="53" spans="1:8" x14ac:dyDescent="0.25">
      <c r="A53" s="7"/>
      <c r="B53" s="7"/>
      <c r="C53" s="7"/>
      <c r="D53" s="7"/>
      <c r="E53" s="7"/>
      <c r="F53" s="7"/>
      <c r="G53" s="7"/>
      <c r="H53" s="7"/>
    </row>
    <row r="54" spans="1:8" x14ac:dyDescent="0.25">
      <c r="A54" s="7"/>
      <c r="B54" s="7"/>
      <c r="C54" s="7"/>
      <c r="D54" s="7"/>
      <c r="E54" s="7"/>
      <c r="F54" s="7"/>
      <c r="G54" s="7"/>
      <c r="H54" s="7"/>
    </row>
  </sheetData>
  <printOptions horizontalCentered="1" verticalCentered="1"/>
  <pageMargins left="0" right="0" top="0" bottom="0" header="0" footer="0"/>
  <pageSetup paperSize="9" scale="93" orientation="portrait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view="pageLayout" zoomScaleNormal="100" workbookViewId="0">
      <selection activeCell="E45" sqref="E45"/>
    </sheetView>
  </sheetViews>
  <sheetFormatPr defaultColWidth="8.140625" defaultRowHeight="15" x14ac:dyDescent="0.25"/>
  <cols>
    <col min="1" max="1" width="34.28515625" customWidth="1"/>
    <col min="2" max="2" width="2.85546875" customWidth="1"/>
    <col min="3" max="3" width="34.140625" style="11" customWidth="1"/>
    <col min="4" max="4" width="2" customWidth="1"/>
    <col min="5" max="5" width="33.42578125" style="11" customWidth="1"/>
  </cols>
  <sheetData>
    <row r="1" spans="1:8" s="2" customFormat="1" ht="21.75" customHeight="1" x14ac:dyDescent="0.25">
      <c r="A1" s="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B1" s="5"/>
      <c r="C1" s="14" t="str">
        <f ca="1">"Наименование: " &amp; INDIRECT(ADDRESS(INT(ROUNDUP(((ROW())/6), 1)) + (2+'Исходная информация'!$N$5), 1, 1, 1, "Исходная информация"))</f>
        <v>Наименование: аппарат реинфузии  крови  AUTOLOG</v>
      </c>
      <c r="D1" s="17"/>
      <c r="E1" s="14" t="str">
        <f ca="1">"Наименование: " &amp; INDIRECT(ADDRESS(INT(ROUNDUP(((ROW())/6), 1)) + 2, 1, 1, 1, "Исходная информация"))</f>
        <v>Наименование: Центрифуга  Rotofix32</v>
      </c>
      <c r="F1" s="5"/>
      <c r="G1" s="5"/>
      <c r="H1" s="5"/>
    </row>
    <row r="2" spans="1:8" ht="15" customHeight="1" x14ac:dyDescent="0.25">
      <c r="A2" s="6" t="str">
        <f ca="1">"Инв. №: " &amp; INDIRECT(ADDRESS(INT(ROUNDUP(((ROW())/6), 1)) + (2+'Исходная информация'!$N$4), 2, 1, 1, "Исходная информация"))</f>
        <v>Инв. №: 004410124.04.113</v>
      </c>
      <c r="B2" s="7"/>
      <c r="C2" s="15" t="str">
        <f ca="1">"Инв. №: " &amp; INDIRECT(ADDRESS(INT(ROUNDUP(((ROW())/6), 1)) + (2+'Исходная информация'!$N$5), 2, 1, 1, "Исходная информация"))</f>
        <v>Инв. №: 001410124.04.80192699</v>
      </c>
      <c r="D2" s="18"/>
      <c r="E2" s="15" t="str">
        <f ca="1">"Инв. №: " &amp; INDIRECT(ADDRESS(INT(ROUNDUP(((ROW())/6), 1)) + 2, 2, 1, 1, "Исходная информация"))</f>
        <v>Инв. №: 000410124.04.80191116</v>
      </c>
      <c r="F2" s="7"/>
      <c r="G2" s="7"/>
      <c r="H2" s="7"/>
    </row>
    <row r="3" spans="1:8" ht="15" customHeight="1" x14ac:dyDescent="0.25">
      <c r="A3" s="6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B3" s="7"/>
      <c r="C3" s="15" t="str">
        <f ca="1">"Периодичность ТО: " &amp; INDIRECT(ADDRESS(INT(ROUNDUP(((ROW())/6), 1)) + (2+'Исходная информация'!$N$5), 3, 1, 1, "Исходная информация"))</f>
        <v>Периодичность ТО: 1 год</v>
      </c>
      <c r="D3" s="18"/>
      <c r="E3" s="15" t="str">
        <f ca="1">"Периодичность ТО: " &amp; INDIRECT(ADDRESS(INT(ROUNDUP(((ROW())/6), 1)) + 2, 3, 1, 1, "Исходная информация"))</f>
        <v>Периодичность ТО: 1 год</v>
      </c>
      <c r="F3" s="7"/>
      <c r="G3" s="7"/>
      <c r="H3" s="7"/>
    </row>
    <row r="4" spans="1:8" ht="15" customHeight="1" x14ac:dyDescent="0.25">
      <c r="A4" s="6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B4" s="7"/>
      <c r="C4" s="15" t="str">
        <f ca="1">"Проведено ТО: " &amp; INDIRECT(ADDRESS(INT(ROUNDUP(((ROW())/6), 1)) + (2+'Исходная информация'!$N$5), 4, 1, 1, "Исходная информация")) &amp; " " &amp; INDIRECT(ADDRESS(INT(ROUNDUP(((ROW())/6), 1)) + (2+'Исходная информация'!$N$5), 5, 1, 1, "Исходная информация")) &amp; " г."</f>
        <v>Проведено ТО: Октябрь 2024 г.</v>
      </c>
      <c r="D4" s="18"/>
      <c r="E4" s="15" t="str">
        <f ca="1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Октябрь 2024 г.</v>
      </c>
      <c r="F4" s="7"/>
      <c r="G4" s="7"/>
      <c r="H4" s="7"/>
    </row>
    <row r="5" spans="1:8" ht="15" customHeight="1" x14ac:dyDescent="0.25">
      <c r="A5" s="6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B5" s="7"/>
      <c r="C5" s="15" t="str">
        <f ca="1">"Следующее ТО: " &amp; INDIRECT(ADDRESS(INT(ROUNDUP(((ROW())/6), 1)) + (2+'Исходная информация'!$N$5), 9, 1, 1, "Исходная информация")) &amp; " " &amp; INDIRECT(ADDRESS(INT(ROUNDUP(((ROW())/6), 1)) + (2+'Исходная информация'!$N$5), 6, 1, 1, "Исходная информация")) &amp; " г."</f>
        <v>Следующее ТО: Октябрь 2025 г.</v>
      </c>
      <c r="D5" s="18"/>
      <c r="E5" s="15" t="str">
        <f ca="1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Октябрь 2025 г.</v>
      </c>
      <c r="F5" s="7"/>
      <c r="G5" s="7"/>
      <c r="H5" s="7"/>
    </row>
    <row r="6" spans="1:8" s="3" customFormat="1" ht="25.5" customHeight="1" x14ac:dyDescent="0.25">
      <c r="A6" s="8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B6" s="9"/>
      <c r="C6" s="16" t="str">
        <f ca="1">"Инженер ОЭиРМО: " &amp; INDIRECT(ADDRESS(INT(ROUNDUP(((ROW())/6), 1)) + (2+'Исходная информация'!$N$5), 7, 1, 1, "Исходная информация"))</f>
        <v>Инженер ОЭиРМО: Тангиров А.Р.</v>
      </c>
      <c r="D6" s="19"/>
      <c r="E6" s="16" t="str">
        <f ca="1">"Инженер ОЭиРМО: " &amp; INDIRECT(ADDRESS(INT(ROUNDUP(((ROW())/6), 1)) + 2, 7, 1, 1, "Исходная информация"))</f>
        <v>Инженер ОЭиРМО: Тангиров А.Р.</v>
      </c>
      <c r="F6" s="9"/>
      <c r="G6" s="9"/>
      <c r="H6" s="9"/>
    </row>
    <row r="7" spans="1:8" s="2" customFormat="1" ht="30.75" customHeight="1" x14ac:dyDescent="0.25">
      <c r="A7" s="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B7" s="5"/>
      <c r="C7" s="14" t="str">
        <f ca="1">"Наименование: " &amp; INDIRECT(ADDRESS(INT(ROUNDUP(((ROW())/6), 1)) + (2+'Исходная информация'!$N$5), 1, 1, 1, "Исходная информация"))</f>
        <v>Наименование: дефибриллятор-монитор + пейсмейкер + пульсоксиметрияHeartStartXL</v>
      </c>
      <c r="D7" s="17"/>
      <c r="E7" s="1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F7" s="5"/>
      <c r="G7" s="5"/>
      <c r="H7" s="5"/>
    </row>
    <row r="8" spans="1:8" ht="14.1" customHeight="1" x14ac:dyDescent="0.25">
      <c r="A8" s="6" t="str">
        <f ca="1">"Инв. №: " &amp; INDIRECT(ADDRESS(INT(ROUNDUP(((ROW())/6), 1)) + (2+'Исходная информация'!$N$4), 2, 1, 1, "Исходная информация"))</f>
        <v>Инв. №: 004410124.04.114</v>
      </c>
      <c r="B8" s="7"/>
      <c r="C8" s="15" t="str">
        <f ca="1">"Инв. №: " &amp; INDIRECT(ADDRESS(INT(ROUNDUP(((ROW())/6), 1)) + (2+'Исходная информация'!$N$5), 2, 1, 1, "Исходная информация"))</f>
        <v>Инв. №: 001410124.04.80191650</v>
      </c>
      <c r="D8" s="18"/>
      <c r="E8" s="15" t="str">
        <f ca="1">"Инв. №: " &amp; INDIRECT(ADDRESS(INT(ROUNDUP(((ROW())/6), 1)) + (2+'Исходная информация'!$N$4), 2, 1, 1, "Исходная информация"))</f>
        <v>Инв. №: 004410124.04.114</v>
      </c>
      <c r="F8" s="7"/>
      <c r="G8" s="7"/>
      <c r="H8" s="7"/>
    </row>
    <row r="9" spans="1:8" ht="14.1" customHeight="1" x14ac:dyDescent="0.25">
      <c r="A9" s="6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B9" s="7"/>
      <c r="C9" s="15" t="str">
        <f ca="1">"Периодичность ТО: " &amp; INDIRECT(ADDRESS(INT(ROUNDUP(((ROW())/6), 1)) + (2+'Исходная информация'!$N$5), 3, 1, 1, "Исходная информация"))</f>
        <v>Периодичность ТО: 1 год</v>
      </c>
      <c r="D9" s="18"/>
      <c r="E9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F9" s="7"/>
      <c r="G9" s="7"/>
      <c r="H9" s="7"/>
    </row>
    <row r="10" spans="1:8" ht="14.1" customHeight="1" x14ac:dyDescent="0.25">
      <c r="A10" s="6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B10" s="7"/>
      <c r="C10" s="15" t="str">
        <f ca="1">"Проведено ТО: " &amp; INDIRECT(ADDRESS(INT(ROUNDUP(((ROW())/6), 1)) + (2+'Исходная информация'!$N$5), 4, 1, 1, "Исходная информация")) &amp; " " &amp; INDIRECT(ADDRESS(INT(ROUNDUP(((ROW())/6), 1)) + (2+'Исходная информация'!$N$5), 5, 1, 1, "Исходная информация")) &amp; " г."</f>
        <v>Проведено ТО: Октябрь 2024 г.</v>
      </c>
      <c r="D10" s="18"/>
      <c r="E10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F10" s="7"/>
      <c r="G10" s="7"/>
      <c r="H10" s="7"/>
    </row>
    <row r="11" spans="1:8" ht="14.1" customHeight="1" x14ac:dyDescent="0.25">
      <c r="A11" s="6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B11" s="7"/>
      <c r="C11" s="15" t="str">
        <f ca="1">"Следующее ТО: " &amp; INDIRECT(ADDRESS(INT(ROUNDUP(((ROW())/6), 1)) + (2+'Исходная информация'!$N$5), 9, 1, 1, "Исходная информация")) &amp; " " &amp; INDIRECT(ADDRESS(INT(ROUNDUP(((ROW())/6), 1)) + (2+'Исходная информация'!$N$5), 6, 1, 1, "Исходная информация")) &amp; " г."</f>
        <v>Следующее ТО: Октябрь 2025 г.</v>
      </c>
      <c r="D11" s="18"/>
      <c r="E11" s="15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F11" s="7"/>
      <c r="G11" s="7"/>
      <c r="H11" s="7"/>
    </row>
    <row r="12" spans="1:8" s="3" customFormat="1" ht="15.75" customHeight="1" x14ac:dyDescent="0.25">
      <c r="A12" s="8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B12" s="9"/>
      <c r="C12" s="16" t="str">
        <f ca="1">"Инженер ОЭиРМО: " &amp; INDIRECT(ADDRESS(INT(ROUNDUP(((ROW())/6), 1)) + (2+'Исходная информация'!$N$5), 7, 1, 1, "Исходная информация"))</f>
        <v>Инженер ОЭиРМО: Игнатов А.Е.</v>
      </c>
      <c r="D12" s="19"/>
      <c r="E12" s="16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F12" s="9"/>
      <c r="G12" s="9"/>
      <c r="H12" s="9"/>
    </row>
    <row r="13" spans="1:8" ht="38.25" customHeight="1" x14ac:dyDescent="0.25">
      <c r="A13" s="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B13" s="7"/>
      <c r="C13" s="1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D13" s="18"/>
      <c r="E13" s="1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F13" s="7"/>
      <c r="G13" s="7"/>
      <c r="H13" s="7"/>
    </row>
    <row r="14" spans="1:8" ht="14.1" customHeight="1" x14ac:dyDescent="0.25">
      <c r="A14" s="6" t="str">
        <f ca="1">"Инв. №: " &amp; INDIRECT(ADDRESS(INT(ROUNDUP(((ROW())/6), 1)) + (2+'Исходная информация'!$N$4), 2, 1, 1, "Исходная информация"))</f>
        <v>Инв. №: 004410124.04.115</v>
      </c>
      <c r="B14" s="7"/>
      <c r="C14" s="15" t="str">
        <f ca="1">"Инв. №: " &amp; INDIRECT(ADDRESS(INT(ROUNDUP(((ROW())/6), 1)) + (2+'Исходная информация'!$N$4), 2, 1, 1, "Исходная информация"))</f>
        <v>Инв. №: 004410124.04.115</v>
      </c>
      <c r="D14" s="18"/>
      <c r="E14" s="15" t="str">
        <f ca="1">"Инв. №: " &amp; INDIRECT(ADDRESS(INT(ROUNDUP(((ROW())/6), 1)) + (2+'Исходная информация'!$N$4), 2, 1, 1, "Исходная информация"))</f>
        <v>Инв. №: 004410124.04.115</v>
      </c>
      <c r="F14" s="7"/>
      <c r="G14" s="7"/>
      <c r="H14" s="7"/>
    </row>
    <row r="15" spans="1:8" ht="14.1" customHeight="1" x14ac:dyDescent="0.25">
      <c r="A15" s="6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B15" s="7"/>
      <c r="C15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D15" s="18"/>
      <c r="E15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F15" s="7"/>
      <c r="G15" s="7"/>
      <c r="H15" s="7"/>
    </row>
    <row r="16" spans="1:8" ht="14.1" customHeight="1" x14ac:dyDescent="0.25">
      <c r="A16" s="6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B16" s="7"/>
      <c r="C16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D16" s="18"/>
      <c r="E16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F16" s="7"/>
      <c r="G16" s="7"/>
      <c r="H16" s="7"/>
    </row>
    <row r="17" spans="1:8" ht="14.1" customHeight="1" x14ac:dyDescent="0.25">
      <c r="A17" s="6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B17" s="7"/>
      <c r="C17" s="15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D17" s="18"/>
      <c r="E17" s="15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F17" s="7"/>
      <c r="G17" s="7"/>
      <c r="H17" s="7"/>
    </row>
    <row r="18" spans="1:8" s="3" customFormat="1" ht="27" customHeight="1" x14ac:dyDescent="0.25">
      <c r="A18" s="8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B18" s="9"/>
      <c r="C18" s="16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D18" s="19"/>
      <c r="E18" s="16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F18" s="9"/>
      <c r="G18" s="9"/>
      <c r="H18" s="9"/>
    </row>
    <row r="19" spans="1:8" s="2" customFormat="1" ht="31.35" customHeight="1" x14ac:dyDescent="0.25">
      <c r="A19" s="4" t="str">
        <f ca="1">"Наименование: " &amp; INDIRECT(ADDRESS(INT(ROUNDUP(((ROW())/6), 1)) + (2+'Исходная информация'!$N$4), 1, 1, 1, "Исходная информация"))</f>
        <v>Наименование: Монитор  глубины наркоза и седации А-2000 ХР с системой измерения биспектрального индекса (Вis )</v>
      </c>
      <c r="B19" s="5"/>
      <c r="C19" s="14" t="str">
        <f ca="1">"Наименование: " &amp; INDIRECT(ADDRESS(INT(ROUNDUP(((ROW())/6), 1)) + (2+'Исходная информация'!$N$4), 1, 1, 1, "Исходная информация"))</f>
        <v>Наименование: Монитор  глубины наркоза и седации А-2000 ХР с системой измерения биспектрального индекса (Вis )</v>
      </c>
      <c r="D19" s="17"/>
      <c r="E19" s="14" t="str">
        <f ca="1">"Наименование: " &amp; INDIRECT(ADDRESS(INT(ROUNDUP(((ROW())/6), 1)) + (2+'Исходная информация'!$N$4), 1, 1, 1, "Исходная информация"))</f>
        <v>Наименование: Монитор  глубины наркоза и седации А-2000 ХР с системой измерения биспектрального индекса (Вis )</v>
      </c>
      <c r="F19" s="5"/>
      <c r="G19" s="5"/>
      <c r="H19" s="5"/>
    </row>
    <row r="20" spans="1:8" ht="14.1" customHeight="1" x14ac:dyDescent="0.25">
      <c r="A20" s="6" t="str">
        <f ca="1">"Инв. №: " &amp; INDIRECT(ADDRESS(INT(ROUNDUP(((ROW())/6), 1)) + (2+'Исходная информация'!$N$4), 2, 1, 1, "Исходная информация"))</f>
        <v>Инв. №: 004410124.04.116</v>
      </c>
      <c r="B20" s="7"/>
      <c r="C20" s="15" t="str">
        <f ca="1">"Инв. №: " &amp; INDIRECT(ADDRESS(INT(ROUNDUP(((ROW())/6), 1)) + (2+'Исходная информация'!$N$4), 2, 1, 1, "Исходная информация"))</f>
        <v>Инв. №: 004410124.04.116</v>
      </c>
      <c r="D20" s="18"/>
      <c r="E20" s="15" t="str">
        <f ca="1">"Инв. №: " &amp; INDIRECT(ADDRESS(INT(ROUNDUP(((ROW())/6), 1)) + (2+'Исходная информация'!$N$4), 2, 1, 1, "Исходная информация"))</f>
        <v>Инв. №: 004410124.04.116</v>
      </c>
      <c r="F20" s="7"/>
      <c r="G20" s="7"/>
      <c r="H20" s="7"/>
    </row>
    <row r="21" spans="1:8" ht="14.1" customHeight="1" x14ac:dyDescent="0.25">
      <c r="A21" s="6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B21" s="7"/>
      <c r="C21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D21" s="18"/>
      <c r="E21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F21" s="7"/>
      <c r="G21" s="7"/>
      <c r="H21" s="7"/>
    </row>
    <row r="22" spans="1:8" ht="14.1" customHeight="1" x14ac:dyDescent="0.25">
      <c r="A22" s="6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B22" s="7"/>
      <c r="C22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D22" s="18"/>
      <c r="E22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F22" s="7"/>
      <c r="G22" s="7"/>
      <c r="H22" s="7"/>
    </row>
    <row r="23" spans="1:8" ht="14.1" customHeight="1" x14ac:dyDescent="0.25">
      <c r="A23" s="6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B23" s="7"/>
      <c r="C23" s="15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D23" s="18"/>
      <c r="E23" s="15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F23" s="7"/>
      <c r="G23" s="7"/>
      <c r="H23" s="7"/>
    </row>
    <row r="24" spans="1:8" s="3" customFormat="1" ht="24" customHeight="1" x14ac:dyDescent="0.25">
      <c r="A24" s="8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B24" s="9"/>
      <c r="C24" s="16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D24" s="19"/>
      <c r="E24" s="16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F24" s="9"/>
      <c r="G24" s="9"/>
      <c r="H24" s="9"/>
    </row>
    <row r="25" spans="1:8" s="2" customFormat="1" ht="37.5" customHeight="1" x14ac:dyDescent="0.25">
      <c r="A25" s="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B25" s="5"/>
      <c r="C25" s="1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D25" s="17"/>
      <c r="E25" s="1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F25" s="5"/>
      <c r="G25" s="5"/>
      <c r="H25" s="5"/>
    </row>
    <row r="26" spans="1:8" ht="14.1" customHeight="1" x14ac:dyDescent="0.25">
      <c r="A26" s="6" t="str">
        <f ca="1">"Инв. №: " &amp; INDIRECT(ADDRESS(INT(ROUNDUP(((ROW())/6), 1)) + (2+'Исходная информация'!$N$4), 2, 1, 1, "Исходная информация"))</f>
        <v>Инв. №: 004410124.04.117</v>
      </c>
      <c r="B26" s="7"/>
      <c r="C26" s="15" t="str">
        <f ca="1">"Инв. №: " &amp; INDIRECT(ADDRESS(INT(ROUNDUP(((ROW())/6), 1)) + (2+'Исходная информация'!$N$4), 2, 1, 1, "Исходная информация"))</f>
        <v>Инв. №: 004410124.04.117</v>
      </c>
      <c r="D26" s="18"/>
      <c r="E26" s="15" t="str">
        <f ca="1">"Инв. №: " &amp; INDIRECT(ADDRESS(INT(ROUNDUP(((ROW())/6), 1)) + (2+'Исходная информация'!$N$4), 2, 1, 1, "Исходная информация"))</f>
        <v>Инв. №: 004410124.04.117</v>
      </c>
      <c r="F26" s="7"/>
      <c r="G26" s="7"/>
      <c r="H26" s="7"/>
    </row>
    <row r="27" spans="1:8" ht="14.1" customHeight="1" x14ac:dyDescent="0.25">
      <c r="A27" s="6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B27" s="7"/>
      <c r="C27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D27" s="18"/>
      <c r="E27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F27" s="7"/>
      <c r="G27" s="7"/>
      <c r="H27" s="7"/>
    </row>
    <row r="28" spans="1:8" ht="14.1" customHeight="1" x14ac:dyDescent="0.25">
      <c r="A28" s="6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B28" s="7"/>
      <c r="C28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D28" s="18"/>
      <c r="E28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F28" s="7"/>
      <c r="G28" s="7"/>
      <c r="H28" s="7"/>
    </row>
    <row r="29" spans="1:8" ht="14.1" customHeight="1" x14ac:dyDescent="0.25">
      <c r="A29" s="6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B29" s="7"/>
      <c r="C29" s="15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D29" s="18"/>
      <c r="E29" s="15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F29" s="7"/>
      <c r="G29" s="7"/>
      <c r="H29" s="7"/>
    </row>
    <row r="30" spans="1:8" s="3" customFormat="1" ht="37.5" customHeight="1" x14ac:dyDescent="0.25">
      <c r="A30" s="8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B30" s="9"/>
      <c r="C30" s="16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D30" s="19"/>
      <c r="E30" s="16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F30" s="9"/>
      <c r="G30" s="9"/>
      <c r="H30" s="9"/>
    </row>
    <row r="31" spans="1:8" s="2" customFormat="1" ht="31.35" customHeight="1" x14ac:dyDescent="0.25">
      <c r="A31" s="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B31" s="5"/>
      <c r="C31" s="1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D31" s="17"/>
      <c r="E31" s="1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F31" s="5"/>
      <c r="G31" s="5"/>
      <c r="H31" s="5"/>
    </row>
    <row r="32" spans="1:8" ht="14.1" customHeight="1" x14ac:dyDescent="0.25">
      <c r="A32" s="6" t="str">
        <f ca="1">"Инв. №: " &amp; INDIRECT(ADDRESS(INT(ROUNDUP(((ROW())/6), 1)) + (2+'Исходная информация'!$N$4), 2, 1, 1, "Исходная информация"))</f>
        <v>Инв. №: 004410124.04.118</v>
      </c>
      <c r="B32" s="7"/>
      <c r="C32" s="15" t="str">
        <f ca="1">"Инв. №: " &amp; INDIRECT(ADDRESS(INT(ROUNDUP(((ROW())/6), 1)) + (2+'Исходная информация'!$N$4), 2, 1, 1, "Исходная информация"))</f>
        <v>Инв. №: 004410124.04.118</v>
      </c>
      <c r="D32" s="18"/>
      <c r="E32" s="15" t="str">
        <f ca="1">"Инв. №: " &amp; INDIRECT(ADDRESS(INT(ROUNDUP(((ROW())/6), 1)) + (2+'Исходная информация'!$N$4), 2, 1, 1, "Исходная информация"))</f>
        <v>Инв. №: 004410124.04.118</v>
      </c>
      <c r="F32" s="7"/>
      <c r="G32" s="7"/>
      <c r="H32" s="7"/>
    </row>
    <row r="33" spans="1:8" ht="14.1" customHeight="1" x14ac:dyDescent="0.25">
      <c r="A33" s="6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B33" s="7"/>
      <c r="C33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D33" s="18"/>
      <c r="E33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F33" s="7"/>
      <c r="G33" s="7"/>
      <c r="H33" s="7"/>
    </row>
    <row r="34" spans="1:8" ht="14.1" customHeight="1" x14ac:dyDescent="0.25">
      <c r="A34" s="6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B34" s="7"/>
      <c r="C34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D34" s="18"/>
      <c r="E34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F34" s="7"/>
      <c r="G34" s="7"/>
      <c r="H34" s="7"/>
    </row>
    <row r="35" spans="1:8" ht="14.1" customHeight="1" x14ac:dyDescent="0.25">
      <c r="A35" s="6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B35" s="7"/>
      <c r="C35" s="15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D35" s="18"/>
      <c r="E35" s="15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F35" s="7"/>
      <c r="G35" s="7"/>
      <c r="H35" s="7"/>
    </row>
    <row r="36" spans="1:8" s="3" customFormat="1" ht="22.5" customHeight="1" x14ac:dyDescent="0.25">
      <c r="A36" s="8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B36" s="9"/>
      <c r="C36" s="16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D36" s="19"/>
      <c r="E36" s="16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F36" s="9"/>
      <c r="G36" s="9"/>
      <c r="H36" s="9"/>
    </row>
    <row r="37" spans="1:8" s="2" customFormat="1" ht="31.35" customHeight="1" x14ac:dyDescent="0.25">
      <c r="A37" s="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B37" s="5"/>
      <c r="C37" s="1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D37" s="17"/>
      <c r="E37" s="14" t="str">
        <f ca="1">"Наименование: " &amp; INDIRECT(ADDRESS(INT(ROUNDUP(((ROW())/6), 1)) + (2+'Исходная информация'!$N$4), 1, 1, 1, "Исходная информация"))</f>
        <v>Наименование:  Монитор  глубины наркоза и седации А-2000 ХР с системой измерения биспектрального индекса (Вis )</v>
      </c>
      <c r="F37" s="5"/>
      <c r="G37" s="5"/>
      <c r="H37" s="5"/>
    </row>
    <row r="38" spans="1:8" ht="14.1" customHeight="1" x14ac:dyDescent="0.25">
      <c r="A38" s="6" t="str">
        <f ca="1">"Инв. №: " &amp; INDIRECT(ADDRESS(INT(ROUNDUP(((ROW())/6), 1)) + (2+'Исходная информация'!$N$4), 2, 1, 1, "Исходная информация"))</f>
        <v>Инв. №: 004410124.04.119</v>
      </c>
      <c r="B38" s="7"/>
      <c r="C38" s="15" t="str">
        <f ca="1">"Инв. №: " &amp; INDIRECT(ADDRESS(INT(ROUNDUP(((ROW())/6), 1)) + (2+'Исходная информация'!$N$4), 2, 1, 1, "Исходная информация"))</f>
        <v>Инв. №: 004410124.04.119</v>
      </c>
      <c r="D38" s="18"/>
      <c r="E38" s="15" t="str">
        <f ca="1">"Инв. №: " &amp; INDIRECT(ADDRESS(INT(ROUNDUP(((ROW())/6), 1)) + (2+'Исходная информация'!$N$4), 2, 1, 1, "Исходная информация"))</f>
        <v>Инв. №: 004410124.04.119</v>
      </c>
      <c r="F38" s="7"/>
      <c r="G38" s="7"/>
      <c r="H38" s="7"/>
    </row>
    <row r="39" spans="1:8" ht="14.1" customHeight="1" x14ac:dyDescent="0.25">
      <c r="A39" s="6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B39" s="7"/>
      <c r="C39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D39" s="18"/>
      <c r="E39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F39" s="7"/>
      <c r="G39" s="7"/>
      <c r="H39" s="7"/>
    </row>
    <row r="40" spans="1:8" ht="14.1" customHeight="1" x14ac:dyDescent="0.25">
      <c r="A40" s="6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B40" s="7"/>
      <c r="C40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D40" s="18"/>
      <c r="E40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F40" s="7"/>
      <c r="G40" s="7"/>
      <c r="H40" s="7"/>
    </row>
    <row r="41" spans="1:8" ht="14.1" customHeight="1" x14ac:dyDescent="0.25">
      <c r="A41" s="6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B41" s="7"/>
      <c r="C41" s="15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D41" s="18"/>
      <c r="E41" s="15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F41" s="7"/>
      <c r="G41" s="7"/>
      <c r="H41" s="7"/>
    </row>
    <row r="42" spans="1:8" s="3" customFormat="1" ht="23.25" customHeight="1" x14ac:dyDescent="0.25">
      <c r="A42" s="8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B42" s="9"/>
      <c r="C42" s="16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D42" s="19"/>
      <c r="E42" s="16" t="str">
        <f ca="1">"Инженер ОЭиРМО: " &amp; INDIRECT(ADDRESS(INT(ROUNDUP(((ROW())/6), 1)) + (2+'Исходная информация'!$N$4), 7, 1, 1, "Исходная информация"))</f>
        <v>Инженер ОЭиРМО: Игнатов А.Е.</v>
      </c>
      <c r="F42" s="9"/>
      <c r="G42" s="9"/>
      <c r="H42" s="9"/>
    </row>
    <row r="43" spans="1:8" s="2" customFormat="1" ht="31.35" customHeight="1" x14ac:dyDescent="0.25">
      <c r="A43" s="4" t="str">
        <f ca="1">"Наименование: " &amp; INDIRECT(ADDRESS(INT(ROUNDUP(((ROW())/6), 1)) + (2+'Исходная информация'!$N$4), 1, 1, 1, "Исходная информация"))</f>
        <v>Наименование: аппарат реинфузии  крови  AUTOLOG</v>
      </c>
      <c r="B43" s="5"/>
      <c r="C43" s="14" t="str">
        <f ca="1">"Наименование: " &amp; INDIRECT(ADDRESS(INT(ROUNDUP(((ROW())/6), 1)) + (2+'Исходная информация'!$N$4), 1, 1, 1, "Исходная информация"))</f>
        <v>Наименование: аппарат реинфузии  крови  AUTOLOG</v>
      </c>
      <c r="D43" s="17"/>
      <c r="E43" s="14" t="str">
        <f ca="1">"Наименование: " &amp; INDIRECT(ADDRESS(INT(ROUNDUP(((ROW())/6), 1)) + (2+'Исходная информация'!$N$4), 1, 1, 1, "Исходная информация"))</f>
        <v>Наименование: аппарат реинфузии  крови  AUTOLOG</v>
      </c>
      <c r="F43" s="5"/>
      <c r="G43" s="5"/>
      <c r="H43" s="5"/>
    </row>
    <row r="44" spans="1:8" ht="14.1" customHeight="1" x14ac:dyDescent="0.25">
      <c r="A44" s="6" t="str">
        <f ca="1">"Инв. №: " &amp; INDIRECT(ADDRESS(INT(ROUNDUP(((ROW())/6), 1)) + (2+'Исходная информация'!$N$4), 2, 1, 1, "Исходная информация"))</f>
        <v>Инв. №: 001410124.04.80192698</v>
      </c>
      <c r="B44" s="7"/>
      <c r="C44" s="15" t="str">
        <f ca="1">"Инв. №: " &amp; INDIRECT(ADDRESS(INT(ROUNDUP(((ROW())/6), 1)) + (2+'Исходная информация'!$N$4), 2, 1, 1, "Исходная информация"))</f>
        <v>Инв. №: 001410124.04.80192698</v>
      </c>
      <c r="D44" s="18"/>
      <c r="E44" s="15" t="str">
        <f ca="1">"Инв. №: " &amp; INDIRECT(ADDRESS(INT(ROUNDUP(((ROW())/6), 1)) + (2+'Исходная информация'!$N$4), 2, 1, 1, "Исходная информация"))</f>
        <v>Инв. №: 001410124.04.80192698</v>
      </c>
      <c r="F44" s="7"/>
      <c r="G44" s="7"/>
      <c r="H44" s="7"/>
    </row>
    <row r="45" spans="1:8" ht="14.1" customHeight="1" x14ac:dyDescent="0.25">
      <c r="A45" s="6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B45" s="7"/>
      <c r="C45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D45" s="18"/>
      <c r="E45" s="15" t="str">
        <f ca="1">"Периодичность ТО: " &amp; INDIRECT(ADDRESS(INT(ROUNDUP(((ROW())/6), 1)) + (2+'Исходная информация'!$N$4), 3, 1, 1, "Исходная информация"))</f>
        <v>Периодичность ТО: 1 год</v>
      </c>
      <c r="F45" s="7"/>
      <c r="G45" s="7"/>
      <c r="H45" s="7"/>
    </row>
    <row r="46" spans="1:8" ht="14.1" customHeight="1" x14ac:dyDescent="0.25">
      <c r="A46" s="6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B46" s="7"/>
      <c r="C46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D46" s="18"/>
      <c r="E46" s="15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Октябрь 2024 г.</v>
      </c>
      <c r="F46" s="7"/>
      <c r="G46" s="7"/>
      <c r="H46" s="7"/>
    </row>
    <row r="47" spans="1:8" ht="14.1" customHeight="1" x14ac:dyDescent="0.25">
      <c r="A47" s="6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B47" s="7"/>
      <c r="C47" s="15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D47" s="18"/>
      <c r="E47" s="15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2025 г.</v>
      </c>
      <c r="F47" s="7"/>
      <c r="G47" s="7"/>
      <c r="H47" s="7"/>
    </row>
    <row r="48" spans="1:8" s="3" customFormat="1" ht="19.7" customHeight="1" x14ac:dyDescent="0.25">
      <c r="A48" s="8" t="str">
        <f ca="1">"Инженер ОЭиРМО: " &amp; INDIRECT(ADDRESS(INT(ROUNDUP(((ROW())/6), 1)) + (2+'Исходная информация'!$N$4), 7, 1, 1, "Исходная информация"))</f>
        <v>Инженер ОЭиРМО: Тангиров А.Р.</v>
      </c>
      <c r="B48" s="9"/>
      <c r="C48" s="16" t="str">
        <f ca="1">"Инженер ОЭиРМО: " &amp; INDIRECT(ADDRESS(INT(ROUNDUP(((ROW())/6), 1)) + (2+'Исходная информация'!$N$4), 7, 1, 1, "Исходная информация"))</f>
        <v>Инженер ОЭиРМО: Тангиров А.Р.</v>
      </c>
      <c r="D48" s="19"/>
      <c r="E48" s="16" t="str">
        <f ca="1">"Инженер ОЭиРМО: " &amp; INDIRECT(ADDRESS(INT(ROUNDUP(((ROW())/6), 1)) + (2+'Исходная информация'!$N$4), 7, 1, 1, "Исходная информация"))</f>
        <v>Инженер ОЭиРМО: Тангиров А.Р.</v>
      </c>
      <c r="F48" s="9"/>
      <c r="G48" s="9"/>
      <c r="H48" s="9"/>
    </row>
    <row r="49" spans="1:8" x14ac:dyDescent="0.25">
      <c r="A49" s="7"/>
      <c r="B49" s="7"/>
      <c r="C49" s="10"/>
      <c r="D49" s="7"/>
      <c r="E49" s="10"/>
      <c r="F49" s="7"/>
      <c r="G49" s="7"/>
      <c r="H49" s="7"/>
    </row>
    <row r="50" spans="1:8" x14ac:dyDescent="0.25">
      <c r="A50" s="7"/>
      <c r="B50" s="7"/>
      <c r="C50" s="10"/>
      <c r="D50" s="7"/>
      <c r="E50" s="10"/>
      <c r="F50" s="7"/>
      <c r="G50" s="7"/>
      <c r="H50" s="7"/>
    </row>
    <row r="51" spans="1:8" x14ac:dyDescent="0.25">
      <c r="A51" s="7"/>
      <c r="B51" s="7"/>
      <c r="C51" s="10"/>
      <c r="D51" s="7"/>
      <c r="E51" s="10"/>
      <c r="F51" s="7"/>
      <c r="G51" s="7"/>
      <c r="H51" s="7"/>
    </row>
    <row r="52" spans="1:8" x14ac:dyDescent="0.25">
      <c r="A52" s="7"/>
      <c r="B52" s="7"/>
      <c r="C52" s="10"/>
      <c r="D52" s="7"/>
      <c r="E52" s="10"/>
      <c r="F52" s="7"/>
      <c r="G52" s="7"/>
      <c r="H52" s="7"/>
    </row>
    <row r="53" spans="1:8" x14ac:dyDescent="0.25">
      <c r="A53" s="7"/>
      <c r="B53" s="7"/>
      <c r="C53" s="10"/>
      <c r="D53" s="7"/>
      <c r="E53" s="10"/>
      <c r="F53" s="7"/>
      <c r="G53" s="7"/>
      <c r="H53" s="7"/>
    </row>
    <row r="54" spans="1:8" x14ac:dyDescent="0.25">
      <c r="A54" s="7"/>
      <c r="B54" s="7"/>
      <c r="C54" s="10"/>
      <c r="D54" s="7"/>
      <c r="E54" s="10"/>
      <c r="F54" s="7"/>
      <c r="G54" s="7"/>
      <c r="H54" s="7"/>
    </row>
  </sheetData>
  <printOptions horizontalCentered="1" verticalCentered="1"/>
  <pageMargins left="0" right="0" top="0" bottom="0" header="0" footer="0"/>
  <pageSetup paperSize="9" scale="93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Исходная информация</vt:lpstr>
      <vt:lpstr>Первые 24</vt:lpstr>
      <vt:lpstr>BUG</vt:lpstr>
      <vt:lpstr>BUG!Область_печати</vt:lpstr>
      <vt:lpstr>'Первые 24'!Область_печати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2024-10-28T08:07:19Z</dcterms:modified>
</cp:coreProperties>
</file>
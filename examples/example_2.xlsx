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6380" windowHeight="8190" tabRatio="500"/>
  </bookViews>
  <sheets>
    <sheet name="Исходная информация (2)" sheetId="4" r:id="rId1"/>
    <sheet name="Исходная информация" sheetId="1" r:id="rId2"/>
    <sheet name="Первые 24" sheetId="2" r:id="rId3"/>
    <sheet name="BUG" sheetId="3" r:id="rId4"/>
  </sheets>
  <definedNames>
    <definedName name="_xlnm.Print_Area" localSheetId="3">BUG!$A$1:$E$48</definedName>
    <definedName name="_xlnm.Print_Area" localSheetId="2">'Первые 24'!$A$1:$E$48</definedName>
  </definedNames>
  <calcPr calcId="14562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9" i="2" l="1"/>
  <c r="A1" i="3"/>
  <c r="A47" i="3"/>
  <c r="E17" i="3"/>
  <c r="E27" i="3"/>
  <c r="E35" i="2"/>
  <c r="C18" i="3"/>
  <c r="E19" i="3"/>
  <c r="E37" i="3"/>
  <c r="C44" i="3"/>
  <c r="C16" i="2"/>
  <c r="E26" i="3"/>
  <c r="A36" i="3"/>
  <c r="E2" i="2"/>
  <c r="E3" i="3"/>
  <c r="E37" i="2"/>
  <c r="E12" i="2"/>
  <c r="E44" i="2"/>
  <c r="A36" i="2"/>
  <c r="E4" i="2"/>
  <c r="E41" i="3"/>
  <c r="A31" i="3"/>
  <c r="E34" i="2"/>
  <c r="E39" i="2"/>
  <c r="C17" i="3"/>
  <c r="E22" i="3"/>
  <c r="A34" i="3"/>
  <c r="C32" i="3"/>
  <c r="C32" i="2"/>
  <c r="A37" i="3"/>
  <c r="C26" i="3"/>
  <c r="A7" i="2"/>
  <c r="E1" i="2"/>
  <c r="C34" i="3"/>
  <c r="E29" i="2"/>
  <c r="C42" i="3"/>
  <c r="C5" i="3"/>
  <c r="E16" i="2"/>
  <c r="C48" i="3"/>
  <c r="A21" i="2"/>
  <c r="C40" i="2"/>
  <c r="A9" i="2"/>
  <c r="A43" i="3"/>
  <c r="C8" i="3"/>
  <c r="C34" i="2"/>
  <c r="C3" i="2"/>
  <c r="C17" i="2"/>
  <c r="C11" i="2"/>
  <c r="E6" i="2"/>
  <c r="C20" i="2"/>
  <c r="E20" i="3"/>
  <c r="E27" i="2"/>
  <c r="C18" i="2"/>
  <c r="C24" i="3"/>
  <c r="A33" i="3"/>
  <c r="C35" i="2"/>
  <c r="E23" i="2"/>
  <c r="A20" i="2"/>
  <c r="C31" i="3"/>
  <c r="C33" i="3"/>
  <c r="C15" i="2"/>
  <c r="C38" i="3"/>
  <c r="C2" i="2"/>
  <c r="E22" i="2"/>
  <c r="A18" i="3"/>
  <c r="C10" i="3"/>
  <c r="E46" i="3"/>
  <c r="A21" i="3"/>
  <c r="E36" i="3"/>
  <c r="A45" i="2"/>
  <c r="E48" i="2"/>
  <c r="E16" i="3"/>
  <c r="A17" i="3"/>
  <c r="E10" i="3"/>
  <c r="C21" i="2"/>
  <c r="A2" i="3"/>
  <c r="A14" i="3"/>
  <c r="C21" i="3"/>
  <c r="A10" i="3"/>
  <c r="E38" i="3"/>
  <c r="A9" i="3"/>
  <c r="C46" i="3"/>
  <c r="C7" i="3"/>
  <c r="E21" i="2"/>
  <c r="A29" i="2"/>
  <c r="A15" i="2"/>
  <c r="E38" i="2"/>
  <c r="A4" i="3"/>
  <c r="E20" i="2"/>
  <c r="A46" i="3"/>
  <c r="E5" i="2"/>
  <c r="C33" i="2"/>
  <c r="E23" i="3"/>
  <c r="A46" i="2"/>
  <c r="A5" i="2"/>
  <c r="A13" i="3"/>
  <c r="E48" i="3"/>
  <c r="E18" i="3"/>
  <c r="E11" i="3"/>
  <c r="E47" i="3"/>
  <c r="E30" i="2"/>
  <c r="C47" i="2"/>
  <c r="C44" i="2"/>
  <c r="E39" i="3"/>
  <c r="C13" i="2"/>
  <c r="E24" i="3"/>
  <c r="A44" i="2"/>
  <c r="E13" i="2"/>
  <c r="A22" i="3"/>
  <c r="A10" i="2"/>
  <c r="C24" i="2"/>
  <c r="C37" i="3"/>
  <c r="C12" i="3"/>
  <c r="C3" i="3"/>
  <c r="C16" i="3"/>
  <c r="A45" i="3"/>
  <c r="A41" i="2"/>
  <c r="A18" i="2"/>
  <c r="A28" i="2"/>
  <c r="A5" i="3"/>
  <c r="E28" i="3"/>
  <c r="C30" i="2"/>
  <c r="C10" i="2"/>
  <c r="E15" i="2"/>
  <c r="A32" i="3"/>
  <c r="C22" i="3"/>
  <c r="C23" i="3"/>
  <c r="E43" i="2"/>
  <c r="A14" i="2"/>
  <c r="C36" i="2"/>
  <c r="A8" i="3"/>
  <c r="E18" i="2"/>
  <c r="A13" i="2"/>
  <c r="C1" i="2"/>
  <c r="E34" i="3"/>
  <c r="A4" i="2"/>
  <c r="A16" i="2"/>
  <c r="A8" i="2"/>
  <c r="A47" i="2"/>
  <c r="E19" i="2"/>
  <c r="A3" i="3"/>
  <c r="A25" i="3"/>
  <c r="A44" i="3"/>
  <c r="E25" i="3"/>
  <c r="C46" i="2"/>
  <c r="C31" i="2"/>
  <c r="E40" i="3"/>
  <c r="E36" i="2"/>
  <c r="A16" i="3"/>
  <c r="E40" i="2"/>
  <c r="E47" i="2"/>
  <c r="E41" i="2"/>
  <c r="C48" i="2"/>
  <c r="C12" i="2"/>
  <c r="A11" i="3"/>
  <c r="C23" i="2"/>
  <c r="E8" i="3"/>
  <c r="E15" i="3"/>
  <c r="E42" i="3"/>
  <c r="C37" i="2"/>
  <c r="C47" i="3"/>
  <c r="E7" i="3"/>
  <c r="E8" i="2"/>
  <c r="A12" i="3"/>
  <c r="E14" i="2"/>
  <c r="E11" i="2"/>
  <c r="E46" i="2"/>
  <c r="A26" i="2"/>
  <c r="C4" i="2"/>
  <c r="E28" i="2"/>
  <c r="A38" i="3"/>
  <c r="C14" i="2"/>
  <c r="C42" i="2"/>
  <c r="C35" i="3"/>
  <c r="E21" i="3"/>
  <c r="E7" i="2"/>
  <c r="C43" i="2"/>
  <c r="A43" i="2"/>
  <c r="A19" i="2"/>
  <c r="A27" i="2"/>
  <c r="C40" i="3"/>
  <c r="A34" i="2"/>
  <c r="C5" i="2"/>
  <c r="A33" i="2"/>
  <c r="C28" i="2"/>
  <c r="E4" i="3"/>
  <c r="C26" i="2"/>
  <c r="E45" i="2"/>
  <c r="C7" i="2"/>
  <c r="A29" i="3"/>
  <c r="E24" i="2"/>
  <c r="A32" i="2"/>
  <c r="A15" i="3"/>
  <c r="C29" i="3"/>
  <c r="C20" i="3"/>
  <c r="E42" i="2"/>
  <c r="A35" i="3"/>
  <c r="C39" i="3"/>
  <c r="A39" i="2"/>
  <c r="A48" i="3"/>
  <c r="C45" i="2"/>
  <c r="A41" i="3"/>
  <c r="C30" i="3"/>
  <c r="A11" i="2"/>
  <c r="A40" i="3"/>
  <c r="E25" i="2"/>
  <c r="A23" i="3"/>
  <c r="C28" i="3"/>
  <c r="A6" i="3"/>
  <c r="C36" i="3"/>
  <c r="E12" i="3"/>
  <c r="E5" i="3"/>
  <c r="A17" i="2"/>
  <c r="C27" i="3"/>
  <c r="A3" i="2"/>
  <c r="A30" i="3"/>
  <c r="C9" i="3"/>
  <c r="A35" i="2"/>
  <c r="C45" i="3"/>
  <c r="E9" i="3"/>
  <c r="A40" i="2"/>
  <c r="E29" i="3"/>
  <c r="C8" i="2"/>
  <c r="A24" i="2"/>
  <c r="E1" i="3"/>
  <c r="E43" i="3"/>
  <c r="E9" i="2"/>
  <c r="A24" i="3"/>
  <c r="C29" i="2"/>
  <c r="A20" i="3"/>
  <c r="E14" i="3"/>
  <c r="C19" i="3"/>
  <c r="E33" i="3"/>
  <c r="E33" i="2"/>
  <c r="C6" i="2"/>
  <c r="C11" i="3"/>
  <c r="C14" i="3"/>
  <c r="C25" i="3"/>
  <c r="A22" i="2"/>
  <c r="A19" i="3"/>
  <c r="A30" i="2"/>
  <c r="A2" i="2"/>
  <c r="E6" i="3"/>
  <c r="E2" i="3"/>
  <c r="C25" i="2"/>
  <c r="A23" i="2"/>
  <c r="A31" i="2"/>
  <c r="E30" i="3"/>
  <c r="C41" i="2"/>
  <c r="E45" i="3"/>
  <c r="E10" i="2"/>
  <c r="E32" i="2"/>
  <c r="E32" i="3"/>
  <c r="A1" i="2"/>
  <c r="C6" i="3"/>
  <c r="E31" i="2"/>
  <c r="E17" i="2"/>
  <c r="C27" i="2"/>
  <c r="C13" i="3"/>
  <c r="A42" i="3"/>
  <c r="E3" i="2"/>
  <c r="C22" i="2"/>
  <c r="A7" i="3"/>
  <c r="C43" i="3"/>
  <c r="E44" i="3"/>
  <c r="A6" i="2"/>
  <c r="C9" i="2"/>
  <c r="E31" i="3"/>
  <c r="A39" i="3"/>
  <c r="A25" i="2"/>
  <c r="E13" i="3"/>
  <c r="C1" i="3"/>
  <c r="A28" i="3"/>
  <c r="A38" i="2"/>
  <c r="A27" i="3"/>
  <c r="A26" i="3"/>
  <c r="C38" i="2"/>
  <c r="C15" i="3"/>
  <c r="A48" i="2"/>
  <c r="C2" i="3"/>
  <c r="E35" i="3"/>
  <c r="A42" i="2"/>
  <c r="C19" i="2"/>
  <c r="A37" i="2"/>
  <c r="C4" i="3"/>
  <c r="C41" i="3"/>
  <c r="A12" i="2"/>
  <c r="E26" i="2"/>
</calcChain>
</file>

<file path=xl/sharedStrings.xml><?xml version="1.0" encoding="utf-8"?>
<sst xmlns="http://schemas.openxmlformats.org/spreadsheetml/2006/main" count="790" uniqueCount="150">
  <si>
    <t>Наименование оборудования</t>
  </si>
  <si>
    <t>Инвентарный номер</t>
  </si>
  <si>
    <t>Периодичность ТО</t>
  </si>
  <si>
    <t>График ТО</t>
  </si>
  <si>
    <t>Год сейчас</t>
  </si>
  <si>
    <t>Год следующий</t>
  </si>
  <si>
    <t>Инженер</t>
  </si>
  <si>
    <t>#</t>
  </si>
  <si>
    <t>Месяц следующее ТО</t>
  </si>
  <si>
    <t>Опции</t>
  </si>
  <si>
    <t>Offset</t>
  </si>
  <si>
    <t>Данилова К.И.</t>
  </si>
  <si>
    <t>Май</t>
  </si>
  <si>
    <t>Июнь</t>
  </si>
  <si>
    <t>Август</t>
  </si>
  <si>
    <t>Сентябрь</t>
  </si>
  <si>
    <t>Ноябрь</t>
  </si>
  <si>
    <t>Декабрь</t>
  </si>
  <si>
    <t>Апрель</t>
  </si>
  <si>
    <t>12 мес</t>
  </si>
  <si>
    <t>Октябрь</t>
  </si>
  <si>
    <t>Январь</t>
  </si>
  <si>
    <t>Февраль</t>
  </si>
  <si>
    <t>Март</t>
  </si>
  <si>
    <t>Июль</t>
  </si>
  <si>
    <t xml:space="preserve">Облучатель-рециркулятор воздуха ультрафиолетовый бактерицидный настенный ОРУБн-3-5-«КРОНТ» (Дезар-5) </t>
  </si>
  <si>
    <t xml:space="preserve">Стол операционный с принадлежностями HY Base 3000.
"Нанджин Миндрей Био-Медикал Электроникс Ко., Лтд." </t>
  </si>
  <si>
    <t xml:space="preserve">Устройство для запаивания пакетов (390 Вт) </t>
  </si>
  <si>
    <t xml:space="preserve">аппарат  высокочастотный электрохирургический </t>
  </si>
  <si>
    <t>000410124.04.80191719</t>
  </si>
  <si>
    <t>видеоэндоскопический комплект HAMOU ENDOMAT</t>
  </si>
  <si>
    <t>000410124.04.80191741</t>
  </si>
  <si>
    <t>комплекс видеоэндоскопический HD</t>
  </si>
  <si>
    <t>000410124.04.80191720</t>
  </si>
  <si>
    <t>комплекс видеоэндоскопический Endomat</t>
  </si>
  <si>
    <t>000410124.04.80191791</t>
  </si>
  <si>
    <t>лупа хирургическая модель с расширенным полем в комплекте с осветителем</t>
  </si>
  <si>
    <t>000410124.04.80191300</t>
  </si>
  <si>
    <t>отсасыватель универсальный с автоматическим поддержанием заданного уровня В-80А</t>
  </si>
  <si>
    <t>000410124.04.80191910</t>
  </si>
  <si>
    <t>000410124.04.80191912</t>
  </si>
  <si>
    <t>000410124.04.80191916</t>
  </si>
  <si>
    <t>000410124.04.80191917</t>
  </si>
  <si>
    <t>000410124.04.80191920</t>
  </si>
  <si>
    <t>000410124.04.80191924</t>
  </si>
  <si>
    <t>система архивации данных для эндоскопических стоек AIDA</t>
  </si>
  <si>
    <t>000410124.04.80191649</t>
  </si>
  <si>
    <t>000410124.04.80191950</t>
  </si>
  <si>
    <t xml:space="preserve">Лупа офтальмологическая бинокулярная HR2,5х/340 HEINE </t>
  </si>
  <si>
    <t xml:space="preserve">Лупа офтальмологическая бинокулярная HR2,5х/420 HEINE </t>
  </si>
  <si>
    <t xml:space="preserve">Устройство  для обеспечения нейрохирургического доступа и позиционирования инструментов ViewSite Brain Access System </t>
  </si>
  <si>
    <t xml:space="preserve">GEN11, Генератор электрохирургический, ультразвуковой G11 </t>
  </si>
  <si>
    <t xml:space="preserve">Аппарат электрохирургический моно- и биполярный Force FX </t>
  </si>
  <si>
    <t xml:space="preserve">блок управления со встроенным ирригационным устройством </t>
  </si>
  <si>
    <t>001210124.01.1</t>
  </si>
  <si>
    <t xml:space="preserve">Генератор элекрохирургический ультразвуковой CSUS 6000 </t>
  </si>
  <si>
    <t xml:space="preserve">Генератор электролигирующий Valleylab LS </t>
  </si>
  <si>
    <t xml:space="preserve">Генератор электрохирургический, ультразвуковой G11 с принадлежностями (GEN 11) </t>
  </si>
  <si>
    <t xml:space="preserve">Платформа энергетическая FT10 Valleylab </t>
  </si>
  <si>
    <t xml:space="preserve">аппарат для  челюстно-лицевой хирургии и имплантологии </t>
  </si>
  <si>
    <t>001410124.04.6570</t>
  </si>
  <si>
    <t>аппарат для электрохирургии (диатермкоагуляции) Force EZ</t>
  </si>
  <si>
    <t>001410124.04.80191579</t>
  </si>
  <si>
    <t>001410124.04.80191584</t>
  </si>
  <si>
    <t xml:space="preserve">датчик конвексный </t>
  </si>
  <si>
    <t>001410124.04.2633</t>
  </si>
  <si>
    <t>датчик конвексный к-кт с пункц. адаптером и стир. чехлом</t>
  </si>
  <si>
    <t>001410124.04.2634</t>
  </si>
  <si>
    <t>датчик линейный интраоперационный Интраоперационный линейный комплект (датчик с пункционным адаптером)</t>
  </si>
  <si>
    <t>001410124.04.2635</t>
  </si>
  <si>
    <t xml:space="preserve">датчик ректальный </t>
  </si>
  <si>
    <t>001410124.04.2636</t>
  </si>
  <si>
    <t>деструктор ультразвуковой Cusa Excel 8</t>
  </si>
  <si>
    <t>001410124.04.80194762</t>
  </si>
  <si>
    <t>коагулятор с блоком аргона Форс ФХ</t>
  </si>
  <si>
    <t>001410124.04.80192627</t>
  </si>
  <si>
    <t>001410124.04.80192630</t>
  </si>
  <si>
    <t>001410124.04.80192631</t>
  </si>
  <si>
    <t>001410124.04.80192632</t>
  </si>
  <si>
    <t>001410124.04.80192635</t>
  </si>
  <si>
    <t>001410124.04.80192637</t>
  </si>
  <si>
    <t xml:space="preserve">лампа налобная и лупа призматическая </t>
  </si>
  <si>
    <t>001410124.04.80192643</t>
  </si>
  <si>
    <t>001410124.04.80192644</t>
  </si>
  <si>
    <t>001410124.04.80192645</t>
  </si>
  <si>
    <t>001410124.04.80192646</t>
  </si>
  <si>
    <t>001410124.04.80192647</t>
  </si>
  <si>
    <t>001410124.04.80192649</t>
  </si>
  <si>
    <t>001410124.04.80192651</t>
  </si>
  <si>
    <t>001410124.04.80192655</t>
  </si>
  <si>
    <t>001410124.04.80192656</t>
  </si>
  <si>
    <t>лампа операционная мобильная (гибкая, волоконно-оптическая)</t>
  </si>
  <si>
    <t>001410124.04.80195440</t>
  </si>
  <si>
    <t>001410124.04.80195441</t>
  </si>
  <si>
    <t>лампа операционная напольная автономная MARLUX H6 мод.CX M</t>
  </si>
  <si>
    <t>001410124.04.80192609</t>
  </si>
  <si>
    <t>001410124.04.80192612</t>
  </si>
  <si>
    <t>001410124.04.80192614</t>
  </si>
  <si>
    <t>микроскоп операционный нейрохирургический M520 F40</t>
  </si>
  <si>
    <t>001410124.04.80191813</t>
  </si>
  <si>
    <t xml:space="preserve">система нейронавигации  OmniSight </t>
  </si>
  <si>
    <t>001410124.04.80194544</t>
  </si>
  <si>
    <t>стернотом (дрель-пила электрохирургическая) EHD</t>
  </si>
  <si>
    <t>001410124.04.80191822</t>
  </si>
  <si>
    <t>001410124.04.80191823</t>
  </si>
  <si>
    <t xml:space="preserve">стойка для лапароскопических операций с приставками урологической и гинекологической в комплектации </t>
  </si>
  <si>
    <t>001410124.04.80195896</t>
  </si>
  <si>
    <t>стол лаборанта-гистолога Gross-Star Pathology Workstation</t>
  </si>
  <si>
    <t>001410124.04.80193118</t>
  </si>
  <si>
    <t xml:space="preserve">ультразвуковой скальпель </t>
  </si>
  <si>
    <t>001410124.04.1705</t>
  </si>
  <si>
    <t>001410124.04.1857</t>
  </si>
  <si>
    <t xml:space="preserve">ультразвуковой скальпель1 </t>
  </si>
  <si>
    <t>001410124.04.6029</t>
  </si>
  <si>
    <t>001410124.04.6030</t>
  </si>
  <si>
    <t>001410124.04.6031</t>
  </si>
  <si>
    <t>ультразвуковой сканер с видеопринтером SONI и монитором</t>
  </si>
  <si>
    <t>001410124.04.2632</t>
  </si>
  <si>
    <t>установка рентгено-хирургическая цифровая мобильная ОЕС 9800 Plus, год выпуска 2005</t>
  </si>
  <si>
    <t>001410124.04.5921</t>
  </si>
  <si>
    <t>электрокоагулятор хирургический биполярный ME CD 1</t>
  </si>
  <si>
    <t>001410124.04.80191567</t>
  </si>
  <si>
    <t>комплект лапароскопический для урологии ROBI</t>
  </si>
  <si>
    <t>002710124.02.22</t>
  </si>
  <si>
    <t>лупа хирургическая Desings for Vision</t>
  </si>
  <si>
    <t>002710124.04.40</t>
  </si>
  <si>
    <t xml:space="preserve">Система навигационная для оперативного контроля положения инструментов при проведения ЛОР-операций </t>
  </si>
  <si>
    <t xml:space="preserve">Электрохирургический блок Force EZ с набором инструментов </t>
  </si>
  <si>
    <t xml:space="preserve"> аппарат электрохирургический Force Triad.Covidien </t>
  </si>
  <si>
    <t xml:space="preserve">Система для микроволновой  (СВЧ) термоабляции очагов в паренхиматозных органах </t>
  </si>
  <si>
    <t xml:space="preserve">Станция водной и высокочастотной электрохирургии </t>
  </si>
  <si>
    <t xml:space="preserve">Стойка видеоэндоскопическая для трансанальных операций, Karl Storz, MTP </t>
  </si>
  <si>
    <t xml:space="preserve">Электрохирургический аппарат монополярный, биполярный с функцией электролигирования </t>
  </si>
  <si>
    <t xml:space="preserve">Генератор электрохирургический с универсальным набором комплектующих для монополярной и биполярной коагуляции </t>
  </si>
  <si>
    <t xml:space="preserve">Комплект для проведения брахитерапии предстательной железы составе: Аппарат ультразвуковой Flex Focus 1202 c принадлежностями. Принадлежность к комплексу гамма-терапевтическому для брахиотерапии: Степпер, Принадлежность к комплексу гамма-терапевтическому для брахиотерапии: Держатель УЗИ датчика ВК, Принадлежность к комплексу гамма-терапевтическому для брахиотерапии: Кронштейн с противовесом для крепления степпера, Принадлежность к комплексу гамма-терапевтическому для брахиотерапии: Держатель шаблонов универсальный, Принадлежность к комплексу гамма-терапевтическому для брахиотерапии: Кейс для хранения кронштейна и степпера </t>
  </si>
  <si>
    <t xml:space="preserve">Микроскоп операционный хирургический Leica PROvido </t>
  </si>
  <si>
    <t xml:space="preserve">Операционный стол универсальный (тип 1) </t>
  </si>
  <si>
    <t xml:space="preserve">Операционный стол универсальный (тип 2) </t>
  </si>
  <si>
    <t xml:space="preserve">Светильник операционный (тип 1) </t>
  </si>
  <si>
    <t xml:space="preserve">Светильник операционный (тип 2) </t>
  </si>
  <si>
    <t xml:space="preserve">Светильник хирургический светодиодный HyLED, с принадлежностя ми: Вариант исполнения HyLED 8600/8600
(Светильник бестеневой двухкупольный потолочного крепления) </t>
  </si>
  <si>
    <t xml:space="preserve">Система лазерная хирургическая СО2, с принадлежностями, вариант исполнения: AcuPulse 40 </t>
  </si>
  <si>
    <t xml:space="preserve">Система электрохирургическая аргон-усиленная Система электрохирургическая высокочастотная "ФОТЕК", модель "ONYX-A" Стран(ы) происхождения товара РОССИЯ </t>
  </si>
  <si>
    <t xml:space="preserve">Система эндоскопической визуализации (Эндовидеоскопический комплекс для выполнения торакальных операций) </t>
  </si>
  <si>
    <t xml:space="preserve">Стол операционный HyBase, с принадлежностями, вариант исполнения: HyBase 3000 </t>
  </si>
  <si>
    <t xml:space="preserve">Устройство гамма-детектирующее "РАДИКАЛ" </t>
  </si>
  <si>
    <t xml:space="preserve">Эндовидеоскопический комплекс для выполнения абдоминальных операций </t>
  </si>
  <si>
    <t xml:space="preserve">Эндовидеоскопический комплекс для выполнения гинекологических операций </t>
  </si>
  <si>
    <t xml:space="preserve">Система автоматизированного планирования, управления и контроля результатов хирургического лечения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</si>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</sst>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sz val="7"/>
      <name val="Calibri"/>
      <family val="2"/>
      <charset val="1"/>
    </font>
    <font>
      <sz val="11"/>
      <name val="Calibri"/>
      <family val="2"/>
      <charset val="1"/>
    </font>
    <font>
      <sz val="7"/>
      <color rgb="FFFFF5CE"/>
      <name val="Calibri"/>
      <family val="2"/>
      <charset val="1"/>
    </font>
    <font>
      <sz val="7"/>
      <color theme="0"/>
      <name val="Calibri"/>
      <family val="2"/>
      <charset val="1"/>
    </font>
    <font>
      <sz val="11"/>
      <color theme="0"/>
      <name val="Calibri"/>
      <family val="2"/>
      <charset val="1"/>
    </font>
    <font>
      <sz val="7"/>
      <color theme="1"/>
      <name val="Calibri"/>
      <family val="2"/>
      <charset val="1"/>
    </font>
    <font>
      <sz val="12"/>
      <name val="Arial Cyr"/>
      <charset val="204"/>
    </font>
    <font>
      <sz val="12"/>
      <name val="Arial Cy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/>
      <right style="thin">
        <color theme="4" tint="0.39988402966399123"/>
      </right>
      <top/>
      <bottom style="thin">
        <color theme="4" tint="0.39988402966399123"/>
      </bottom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 applyProtection="1"/>
    <xf numFmtId="0" fontId="1" fillId="0" borderId="0" xfId="0" applyFont="1" applyAlignment="1" applyProtection="1"/>
    <xf numFmtId="0" fontId="0" fillId="2" borderId="0" xfId="0" applyFont="1" applyFill="1" applyAlignment="1" applyProtection="1"/>
    <xf numFmtId="0" fontId="2" fillId="0" borderId="1" xfId="0" applyFont="1" applyBorder="1" applyAlignment="1" applyProtection="1"/>
    <xf numFmtId="0" fontId="0" fillId="0" borderId="0" xfId="0" applyFont="1" applyAlignment="1" applyProtection="1"/>
    <xf numFmtId="0" fontId="3" fillId="0" borderId="0" xfId="0" applyFont="1" applyBorder="1" applyAlignment="1" applyProtection="1"/>
    <xf numFmtId="0" fontId="4" fillId="0" borderId="0" xfId="0" applyFont="1" applyBorder="1" applyAlignment="1" applyProtection="1"/>
    <xf numFmtId="0" fontId="5" fillId="0" borderId="0" xfId="0" applyFont="1" applyBorder="1" applyAlignment="1" applyProtection="1"/>
    <xf numFmtId="0" fontId="6" fillId="0" borderId="0" xfId="0" applyFont="1" applyBorder="1" applyAlignment="1" applyProtection="1"/>
    <xf numFmtId="0" fontId="0" fillId="0" borderId="0" xfId="0" applyBorder="1" applyAlignment="1" applyProtection="1"/>
    <xf numFmtId="0" fontId="3" fillId="0" borderId="0" xfId="0" applyFont="1" applyBorder="1" applyAlignment="1" applyProtection="1">
      <alignment vertical="center"/>
    </xf>
    <xf numFmtId="0" fontId="5" fillId="0" borderId="0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vertical="center"/>
    </xf>
    <xf numFmtId="0" fontId="3" fillId="0" borderId="0" xfId="0" applyFont="1" applyBorder="1" applyAlignment="1" applyProtection="1">
      <alignment vertical="top"/>
    </xf>
    <xf numFmtId="0" fontId="4" fillId="0" borderId="0" xfId="0" applyFont="1" applyBorder="1" applyAlignment="1" applyProtection="1">
      <alignment vertical="top"/>
    </xf>
    <xf numFmtId="0" fontId="5" fillId="0" borderId="0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0" xfId="0" applyAlignment="1" applyProtection="1">
      <alignment vertical="top"/>
    </xf>
    <xf numFmtId="0" fontId="7" fillId="0" borderId="0" xfId="0" applyFont="1" applyBorder="1" applyAlignment="1" applyProtection="1"/>
    <xf numFmtId="0" fontId="7" fillId="0" borderId="0" xfId="0" applyFont="1" applyBorder="1" applyAlignment="1" applyProtection="1">
      <alignment vertical="top"/>
    </xf>
    <xf numFmtId="0" fontId="7" fillId="0" borderId="0" xfId="0" applyFont="1" applyAlignment="1" applyProtection="1"/>
    <xf numFmtId="0" fontId="8" fillId="0" borderId="0" xfId="0" applyFont="1" applyBorder="1" applyAlignment="1" applyProtection="1"/>
    <xf numFmtId="0" fontId="8" fillId="0" borderId="0" xfId="0" applyFont="1" applyBorder="1" applyAlignment="1" applyProtection="1">
      <alignment vertical="center"/>
    </xf>
    <xf numFmtId="0" fontId="8" fillId="0" borderId="0" xfId="0" applyFont="1" applyBorder="1" applyAlignment="1" applyProtection="1">
      <alignment vertical="top"/>
    </xf>
    <xf numFmtId="0" fontId="0" fillId="0" borderId="2" xfId="0" applyBorder="1" applyAlignment="1" applyProtection="1"/>
    <xf numFmtId="0" fontId="9" fillId="0" borderId="3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</cellXfs>
  <cellStyles count="1">
    <cellStyle name="Обычный" xfId="0" builtinId="0"/>
  </cellStyles>
  <dxfs count="6">
    <dxf>
      <border outline="0">
        <left style="medium">
          <color indexed="64"/>
        </left>
      </border>
    </dxf>
    <dxf>
      <font>
        <sz val="12"/>
        <color auto="1"/>
        <name val="Arial Cyr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2"/>
        <color auto="1"/>
        <name val="Arial Cyr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2"/>
        <color auto="1"/>
        <name val="Arial Cyr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2"/>
        <color auto="1"/>
        <name val="Arial Cyr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E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B3D7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2" name="Таблица13" displayName="Таблица13" ref="A1:I143" totalsRowShown="0">
  <autoFilter ref="A1:I143"/>
  <tableColumns count="9">
    <tableColumn id="1" name="Наименование оборудования" dataDxfId="2"/>
    <tableColumn id="2" name="Инвентарный номер" dataDxfId="1"/>
    <tableColumn id="3" name="Периодичность ТО" dataDxfId="0"/>
    <tableColumn id="4" name="График ТО"/>
    <tableColumn id="5" name="Год сейчас"/>
    <tableColumn id="6" name="Год следующий"/>
    <tableColumn id="7" name="Инженер"/>
    <tableColumn id="8" name="#"/>
    <tableColumn id="9" name="Месяц следующее ТО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1" name="Таблица1" displayName="Таблица1" ref="A1:I143" totalsRowShown="0">
  <autoFilter ref="A1:I143"/>
  <tableColumns count="9">
    <tableColumn id="1" name="Наименование оборудования" dataDxfId="4"/>
    <tableColumn id="2" name="Инвентарный номер" dataDxfId="3"/>
    <tableColumn id="3" name="Периодичность ТО" dataDxfId="5"/>
    <tableColumn id="4" name="График ТО"/>
    <tableColumn id="5" name="Год сейчас"/>
    <tableColumn id="6" name="Год следующий"/>
    <tableColumn id="7" name="Инженер"/>
    <tableColumn id="8" name="#"/>
    <tableColumn id="9" name="Месяц следующее ТО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3"/>
  <sheetViews>
    <sheetView tabSelected="1" zoomScale="80" zoomScaleNormal="80" workbookViewId="0">
      <selection activeCell="A23" sqref="A23"/>
    </sheetView>
  </sheetViews>
  <sheetFormatPr defaultColWidth="8.7109375" defaultRowHeight="15" x14ac:dyDescent="0.25"/>
  <cols>
    <col min="1" max="1" width="117.42578125" style="1" customWidth="1"/>
    <col min="2" max="2" width="49.42578125" style="1" customWidth="1"/>
    <col min="3" max="3" width="33.7109375" style="1" customWidth="1"/>
    <col min="4" max="4" width="21.7109375" style="1" customWidth="1"/>
    <col min="5" max="5" width="21.85546875" style="1" customWidth="1"/>
    <col min="6" max="6" width="17.5703125" style="1" customWidth="1"/>
    <col min="7" max="7" width="15.85546875" style="1" customWidth="1"/>
    <col min="8" max="8" width="23.7109375" style="1" customWidth="1"/>
    <col min="9" max="9" width="23.42578125" style="1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M1" s="2" t="s">
        <v>9</v>
      </c>
    </row>
    <row r="2" spans="1:14" ht="30" x14ac:dyDescent="0.25">
      <c r="A2" s="27" t="s">
        <v>133</v>
      </c>
      <c r="B2" s="27">
        <v>19987</v>
      </c>
      <c r="C2" s="10" t="s">
        <v>19</v>
      </c>
      <c r="D2" s="3" t="s">
        <v>24</v>
      </c>
      <c r="E2" s="1">
        <v>2026</v>
      </c>
      <c r="F2" s="1">
        <v>2027</v>
      </c>
      <c r="G2" s="4" t="s">
        <v>11</v>
      </c>
      <c r="I2" s="1" t="s">
        <v>15</v>
      </c>
      <c r="M2" s="2" t="s">
        <v>10</v>
      </c>
      <c r="N2" s="1">
        <v>8</v>
      </c>
    </row>
    <row r="3" spans="1:14" ht="105" x14ac:dyDescent="0.25">
      <c r="A3" s="27" t="s">
        <v>134</v>
      </c>
      <c r="B3" s="27">
        <v>20875</v>
      </c>
      <c r="C3" s="10" t="s">
        <v>19</v>
      </c>
      <c r="D3" s="3" t="s">
        <v>24</v>
      </c>
      <c r="E3" s="1">
        <v>2026</v>
      </c>
      <c r="F3" s="1">
        <v>2027</v>
      </c>
      <c r="G3" s="4" t="s">
        <v>11</v>
      </c>
      <c r="I3" s="1" t="s">
        <v>20</v>
      </c>
      <c r="M3" s="2"/>
      <c r="N3" s="5"/>
    </row>
    <row r="4" spans="1:14" x14ac:dyDescent="0.25">
      <c r="A4" s="27" t="s">
        <v>135</v>
      </c>
      <c r="B4" s="27">
        <v>22970</v>
      </c>
      <c r="C4" s="10" t="s">
        <v>19</v>
      </c>
      <c r="D4" s="3" t="s">
        <v>24</v>
      </c>
      <c r="E4" s="1">
        <v>2026</v>
      </c>
      <c r="F4" s="1">
        <v>2027</v>
      </c>
      <c r="G4" s="4" t="s">
        <v>11</v>
      </c>
      <c r="I4" s="1" t="s">
        <v>16</v>
      </c>
      <c r="M4" s="2"/>
      <c r="N4" s="5"/>
    </row>
    <row r="5" spans="1:14" x14ac:dyDescent="0.25">
      <c r="A5" s="27" t="s">
        <v>136</v>
      </c>
      <c r="B5" s="27">
        <v>27137</v>
      </c>
      <c r="C5" s="10" t="s">
        <v>19</v>
      </c>
      <c r="D5" s="3" t="s">
        <v>24</v>
      </c>
      <c r="E5" s="1">
        <v>2026</v>
      </c>
      <c r="F5" s="1">
        <v>2027</v>
      </c>
      <c r="G5" s="4" t="s">
        <v>11</v>
      </c>
      <c r="I5" s="1" t="s">
        <v>17</v>
      </c>
      <c r="M5" s="2"/>
      <c r="N5" s="5"/>
    </row>
    <row r="6" spans="1:14" x14ac:dyDescent="0.25">
      <c r="A6" s="27" t="s">
        <v>136</v>
      </c>
      <c r="B6" s="27">
        <v>27138</v>
      </c>
      <c r="C6" s="10" t="s">
        <v>19</v>
      </c>
      <c r="D6" s="3" t="s">
        <v>24</v>
      </c>
      <c r="E6" s="1">
        <v>2026</v>
      </c>
      <c r="F6" s="1">
        <v>2027</v>
      </c>
      <c r="G6" s="4" t="s">
        <v>11</v>
      </c>
      <c r="I6" s="1" t="s">
        <v>21</v>
      </c>
    </row>
    <row r="7" spans="1:14" x14ac:dyDescent="0.25">
      <c r="A7" s="27" t="s">
        <v>136</v>
      </c>
      <c r="B7" s="27">
        <v>27139</v>
      </c>
      <c r="C7" s="10" t="s">
        <v>19</v>
      </c>
      <c r="D7" s="3" t="s">
        <v>24</v>
      </c>
      <c r="E7" s="1">
        <v>2026</v>
      </c>
      <c r="F7" s="1">
        <v>2027</v>
      </c>
      <c r="G7" s="4" t="s">
        <v>11</v>
      </c>
      <c r="I7" s="1" t="s">
        <v>22</v>
      </c>
    </row>
    <row r="8" spans="1:14" ht="15.75" customHeight="1" x14ac:dyDescent="0.25">
      <c r="A8" s="27" t="s">
        <v>136</v>
      </c>
      <c r="B8" s="27">
        <v>27140</v>
      </c>
      <c r="C8" s="10" t="s">
        <v>19</v>
      </c>
      <c r="D8" s="3" t="s">
        <v>24</v>
      </c>
      <c r="E8" s="1">
        <v>2026</v>
      </c>
      <c r="F8" s="1">
        <v>2027</v>
      </c>
      <c r="G8" s="4" t="s">
        <v>11</v>
      </c>
      <c r="I8" s="1" t="s">
        <v>23</v>
      </c>
    </row>
    <row r="9" spans="1:14" ht="15.75" customHeight="1" x14ac:dyDescent="0.25">
      <c r="A9" s="27" t="s">
        <v>136</v>
      </c>
      <c r="B9" s="27">
        <v>27141</v>
      </c>
      <c r="C9" s="10" t="s">
        <v>19</v>
      </c>
      <c r="D9" s="3" t="s">
        <v>24</v>
      </c>
      <c r="E9" s="1">
        <v>2026</v>
      </c>
      <c r="F9" s="1">
        <v>2027</v>
      </c>
      <c r="G9" s="4" t="s">
        <v>11</v>
      </c>
      <c r="I9" s="1" t="s">
        <v>18</v>
      </c>
    </row>
    <row r="10" spans="1:14" ht="16.5" customHeight="1" x14ac:dyDescent="0.25">
      <c r="A10" s="27" t="s">
        <v>136</v>
      </c>
      <c r="B10" s="27">
        <v>27142</v>
      </c>
      <c r="C10" s="10" t="s">
        <v>19</v>
      </c>
      <c r="D10" s="3" t="s">
        <v>24</v>
      </c>
      <c r="E10" s="1">
        <v>2026</v>
      </c>
      <c r="F10" s="1">
        <v>2027</v>
      </c>
      <c r="G10" s="4" t="s">
        <v>11</v>
      </c>
      <c r="I10" s="1" t="s">
        <v>12</v>
      </c>
    </row>
    <row r="11" spans="1:14" x14ac:dyDescent="0.25">
      <c r="A11" s="27" t="s">
        <v>136</v>
      </c>
      <c r="B11" s="27">
        <v>27143</v>
      </c>
      <c r="C11" s="10" t="s">
        <v>19</v>
      </c>
      <c r="D11" s="3" t="s">
        <v>24</v>
      </c>
      <c r="E11" s="1">
        <v>2026</v>
      </c>
      <c r="F11" s="1">
        <v>2027</v>
      </c>
      <c r="G11" s="4" t="s">
        <v>11</v>
      </c>
      <c r="I11" s="1" t="s">
        <v>13</v>
      </c>
    </row>
    <row r="12" spans="1:14" ht="15.75" customHeight="1" x14ac:dyDescent="0.25">
      <c r="A12" s="27" t="s">
        <v>136</v>
      </c>
      <c r="B12" s="27">
        <v>27144</v>
      </c>
      <c r="C12" s="10" t="s">
        <v>19</v>
      </c>
      <c r="D12" s="3" t="s">
        <v>24</v>
      </c>
      <c r="E12" s="1">
        <v>2026</v>
      </c>
      <c r="F12" s="1">
        <v>2027</v>
      </c>
      <c r="G12" s="4" t="s">
        <v>11</v>
      </c>
      <c r="I12" s="1" t="s">
        <v>24</v>
      </c>
    </row>
    <row r="13" spans="1:14" x14ac:dyDescent="0.25">
      <c r="A13" s="27" t="s">
        <v>136</v>
      </c>
      <c r="B13" s="27">
        <v>27145</v>
      </c>
      <c r="C13" s="10" t="s">
        <v>19</v>
      </c>
      <c r="D13" s="3" t="s">
        <v>24</v>
      </c>
      <c r="E13" s="1">
        <v>2026</v>
      </c>
      <c r="F13" s="1">
        <v>2027</v>
      </c>
      <c r="G13" s="4" t="s">
        <v>11</v>
      </c>
      <c r="I13" s="1" t="s">
        <v>14</v>
      </c>
    </row>
    <row r="14" spans="1:14" x14ac:dyDescent="0.25">
      <c r="A14" s="27" t="s">
        <v>137</v>
      </c>
      <c r="B14" s="27">
        <v>27136</v>
      </c>
      <c r="C14" s="10" t="s">
        <v>19</v>
      </c>
      <c r="D14" s="3" t="s">
        <v>24</v>
      </c>
      <c r="E14" s="1">
        <v>2026</v>
      </c>
      <c r="F14" s="1">
        <v>2027</v>
      </c>
      <c r="G14" s="4" t="s">
        <v>11</v>
      </c>
      <c r="I14" s="1" t="s">
        <v>15</v>
      </c>
    </row>
    <row r="15" spans="1:14" x14ac:dyDescent="0.25">
      <c r="A15" s="27" t="s">
        <v>138</v>
      </c>
      <c r="B15" s="27">
        <v>21181</v>
      </c>
      <c r="C15" s="10" t="s">
        <v>19</v>
      </c>
      <c r="D15" s="3" t="s">
        <v>24</v>
      </c>
      <c r="E15" s="1">
        <v>2026</v>
      </c>
      <c r="F15" s="1">
        <v>2027</v>
      </c>
      <c r="G15" s="4" t="s">
        <v>11</v>
      </c>
      <c r="I15" s="1" t="s">
        <v>20</v>
      </c>
    </row>
    <row r="16" spans="1:14" x14ac:dyDescent="0.25">
      <c r="A16" s="27" t="s">
        <v>138</v>
      </c>
      <c r="B16" s="27">
        <v>21182</v>
      </c>
      <c r="C16" s="10" t="s">
        <v>19</v>
      </c>
      <c r="D16" s="3" t="s">
        <v>24</v>
      </c>
      <c r="E16" s="1">
        <v>2026</v>
      </c>
      <c r="F16" s="1">
        <v>2027</v>
      </c>
      <c r="G16" s="4" t="s">
        <v>11</v>
      </c>
      <c r="I16" s="1" t="s">
        <v>16</v>
      </c>
    </row>
    <row r="17" spans="1:9" x14ac:dyDescent="0.25">
      <c r="A17" s="27" t="s">
        <v>138</v>
      </c>
      <c r="B17" s="27">
        <v>21183</v>
      </c>
      <c r="C17" s="10" t="s">
        <v>19</v>
      </c>
      <c r="D17" s="3" t="s">
        <v>24</v>
      </c>
      <c r="E17" s="1">
        <v>2026</v>
      </c>
      <c r="F17" s="1">
        <v>2027</v>
      </c>
      <c r="G17" s="4" t="s">
        <v>11</v>
      </c>
      <c r="I17" s="1" t="s">
        <v>17</v>
      </c>
    </row>
    <row r="18" spans="1:9" x14ac:dyDescent="0.25">
      <c r="A18" s="27" t="s">
        <v>139</v>
      </c>
      <c r="B18" s="27">
        <v>21184</v>
      </c>
      <c r="C18" s="10" t="s">
        <v>19</v>
      </c>
      <c r="D18" s="3" t="s">
        <v>24</v>
      </c>
      <c r="E18" s="1">
        <v>2026</v>
      </c>
      <c r="F18" s="1">
        <v>2027</v>
      </c>
      <c r="G18" s="4" t="s">
        <v>11</v>
      </c>
      <c r="I18" s="1" t="s">
        <v>21</v>
      </c>
    </row>
    <row r="19" spans="1:9" x14ac:dyDescent="0.25">
      <c r="A19" s="27" t="s">
        <v>139</v>
      </c>
      <c r="B19" s="27">
        <v>27198</v>
      </c>
      <c r="C19" s="10" t="s">
        <v>19</v>
      </c>
      <c r="D19" s="3" t="s">
        <v>24</v>
      </c>
      <c r="E19" s="1">
        <v>2026</v>
      </c>
      <c r="F19" s="1">
        <v>2027</v>
      </c>
      <c r="G19" s="4" t="s">
        <v>11</v>
      </c>
      <c r="I19" s="1" t="s">
        <v>22</v>
      </c>
    </row>
    <row r="20" spans="1:9" x14ac:dyDescent="0.25">
      <c r="A20" s="27" t="s">
        <v>139</v>
      </c>
      <c r="B20" s="27">
        <v>27199</v>
      </c>
      <c r="C20" s="10" t="s">
        <v>19</v>
      </c>
      <c r="D20" s="3" t="s">
        <v>24</v>
      </c>
      <c r="E20" s="1">
        <v>2026</v>
      </c>
      <c r="F20" s="1">
        <v>2027</v>
      </c>
      <c r="G20" s="4" t="s">
        <v>11</v>
      </c>
      <c r="I20" s="1" t="s">
        <v>23</v>
      </c>
    </row>
    <row r="21" spans="1:9" ht="18" customHeight="1" x14ac:dyDescent="0.25">
      <c r="A21" s="27" t="s">
        <v>139</v>
      </c>
      <c r="B21" s="27">
        <v>27200</v>
      </c>
      <c r="C21" s="10" t="s">
        <v>19</v>
      </c>
      <c r="D21" s="3" t="s">
        <v>24</v>
      </c>
      <c r="E21" s="1">
        <v>2026</v>
      </c>
      <c r="F21" s="1">
        <v>2027</v>
      </c>
      <c r="G21" s="4" t="s">
        <v>11</v>
      </c>
      <c r="I21" s="1" t="s">
        <v>18</v>
      </c>
    </row>
    <row r="22" spans="1:9" ht="18" customHeight="1" x14ac:dyDescent="0.25">
      <c r="A22" s="27" t="s">
        <v>139</v>
      </c>
      <c r="B22" s="27">
        <v>27201</v>
      </c>
      <c r="C22" s="10" t="s">
        <v>19</v>
      </c>
      <c r="D22" s="3" t="s">
        <v>24</v>
      </c>
      <c r="E22" s="1">
        <v>2026</v>
      </c>
      <c r="F22" s="1">
        <v>2027</v>
      </c>
      <c r="G22" s="4" t="s">
        <v>11</v>
      </c>
      <c r="I22" s="1" t="s">
        <v>12</v>
      </c>
    </row>
    <row r="23" spans="1:9" ht="17.25" customHeight="1" x14ac:dyDescent="0.25">
      <c r="A23" s="27" t="s">
        <v>139</v>
      </c>
      <c r="B23" s="27">
        <v>27202</v>
      </c>
      <c r="C23" s="10" t="s">
        <v>19</v>
      </c>
      <c r="D23" s="3" t="s">
        <v>24</v>
      </c>
      <c r="E23" s="1">
        <v>2026</v>
      </c>
      <c r="F23" s="1">
        <v>2027</v>
      </c>
      <c r="G23" s="4" t="s">
        <v>11</v>
      </c>
      <c r="I23" s="1" t="s">
        <v>13</v>
      </c>
    </row>
    <row r="24" spans="1:9" ht="18" customHeight="1" x14ac:dyDescent="0.25">
      <c r="A24" s="27" t="s">
        <v>139</v>
      </c>
      <c r="B24" s="27">
        <v>27203</v>
      </c>
      <c r="C24" s="10" t="s">
        <v>19</v>
      </c>
      <c r="D24" s="3" t="s">
        <v>24</v>
      </c>
      <c r="E24" s="1">
        <v>2026</v>
      </c>
      <c r="F24" s="1">
        <v>2027</v>
      </c>
      <c r="G24" s="4" t="s">
        <v>11</v>
      </c>
      <c r="I24" s="1" t="s">
        <v>24</v>
      </c>
    </row>
    <row r="25" spans="1:9" ht="18.75" customHeight="1" x14ac:dyDescent="0.25">
      <c r="A25" s="27" t="s">
        <v>139</v>
      </c>
      <c r="B25" s="27">
        <v>27204</v>
      </c>
      <c r="C25" s="10" t="s">
        <v>19</v>
      </c>
      <c r="D25" s="3" t="s">
        <v>24</v>
      </c>
      <c r="E25" s="1">
        <v>2026</v>
      </c>
      <c r="F25" s="1">
        <v>2027</v>
      </c>
      <c r="G25" s="4" t="s">
        <v>11</v>
      </c>
      <c r="I25" s="1" t="s">
        <v>14</v>
      </c>
    </row>
    <row r="26" spans="1:9" x14ac:dyDescent="0.25">
      <c r="A26" s="27" t="s">
        <v>139</v>
      </c>
      <c r="B26" s="27">
        <v>27205</v>
      </c>
      <c r="C26" s="10" t="s">
        <v>19</v>
      </c>
      <c r="D26" s="3" t="s">
        <v>24</v>
      </c>
      <c r="E26" s="1">
        <v>2026</v>
      </c>
      <c r="F26" s="1">
        <v>2027</v>
      </c>
      <c r="G26" s="4" t="s">
        <v>11</v>
      </c>
      <c r="I26" s="1" t="s">
        <v>15</v>
      </c>
    </row>
    <row r="27" spans="1:9" x14ac:dyDescent="0.25">
      <c r="A27" s="27" t="s">
        <v>139</v>
      </c>
      <c r="B27" s="27">
        <v>27206</v>
      </c>
      <c r="C27" s="10" t="s">
        <v>19</v>
      </c>
      <c r="D27" s="3" t="s">
        <v>24</v>
      </c>
      <c r="E27" s="1">
        <v>2026</v>
      </c>
      <c r="F27" s="1">
        <v>2027</v>
      </c>
      <c r="G27" s="4" t="s">
        <v>11</v>
      </c>
      <c r="I27" s="1" t="s">
        <v>20</v>
      </c>
    </row>
    <row r="28" spans="1:9" x14ac:dyDescent="0.25">
      <c r="A28" s="27" t="s">
        <v>139</v>
      </c>
      <c r="B28" s="27">
        <v>27207</v>
      </c>
      <c r="C28" s="10" t="s">
        <v>19</v>
      </c>
      <c r="D28" s="3" t="s">
        <v>24</v>
      </c>
      <c r="E28" s="1">
        <v>2026</v>
      </c>
      <c r="F28" s="1">
        <v>2027</v>
      </c>
      <c r="G28" s="4" t="s">
        <v>11</v>
      </c>
      <c r="I28" s="1" t="s">
        <v>16</v>
      </c>
    </row>
    <row r="29" spans="1:9" ht="45" x14ac:dyDescent="0.25">
      <c r="A29" s="27" t="s">
        <v>140</v>
      </c>
      <c r="B29" s="27">
        <v>20217</v>
      </c>
      <c r="C29" s="10" t="s">
        <v>19</v>
      </c>
      <c r="D29" s="3" t="s">
        <v>24</v>
      </c>
      <c r="E29" s="1">
        <v>2026</v>
      </c>
      <c r="F29" s="1">
        <v>2027</v>
      </c>
      <c r="G29" s="4" t="s">
        <v>11</v>
      </c>
      <c r="I29" s="1" t="s">
        <v>17</v>
      </c>
    </row>
    <row r="30" spans="1:9" ht="45" x14ac:dyDescent="0.25">
      <c r="A30" s="27" t="s">
        <v>140</v>
      </c>
      <c r="B30" s="27">
        <v>20218</v>
      </c>
      <c r="C30" s="10" t="s">
        <v>19</v>
      </c>
      <c r="D30" s="3" t="s">
        <v>24</v>
      </c>
      <c r="E30" s="1">
        <v>2026</v>
      </c>
      <c r="F30" s="1">
        <v>2027</v>
      </c>
      <c r="G30" s="4" t="s">
        <v>11</v>
      </c>
      <c r="I30" s="1" t="s">
        <v>21</v>
      </c>
    </row>
    <row r="31" spans="1:9" ht="45" x14ac:dyDescent="0.25">
      <c r="A31" s="27" t="s">
        <v>140</v>
      </c>
      <c r="B31" s="27">
        <v>20219</v>
      </c>
      <c r="C31" s="10" t="s">
        <v>19</v>
      </c>
      <c r="D31" s="3" t="s">
        <v>24</v>
      </c>
      <c r="E31" s="1">
        <v>2026</v>
      </c>
      <c r="F31" s="1">
        <v>2027</v>
      </c>
      <c r="G31" s="4" t="s">
        <v>11</v>
      </c>
      <c r="I31" s="1" t="s">
        <v>22</v>
      </c>
    </row>
    <row r="32" spans="1:9" ht="45" x14ac:dyDescent="0.25">
      <c r="A32" s="27" t="s">
        <v>140</v>
      </c>
      <c r="B32" s="27">
        <v>20220</v>
      </c>
      <c r="C32" s="10" t="s">
        <v>19</v>
      </c>
      <c r="D32" s="3" t="s">
        <v>24</v>
      </c>
      <c r="E32" s="1">
        <v>2026</v>
      </c>
      <c r="F32" s="1">
        <v>2027</v>
      </c>
      <c r="G32" s="4" t="s">
        <v>11</v>
      </c>
      <c r="I32" s="1" t="s">
        <v>23</v>
      </c>
    </row>
    <row r="33" spans="1:9" x14ac:dyDescent="0.25">
      <c r="A33" s="27" t="s">
        <v>141</v>
      </c>
      <c r="B33" s="27">
        <v>25024</v>
      </c>
      <c r="C33" s="10" t="s">
        <v>19</v>
      </c>
      <c r="D33" s="3" t="s">
        <v>24</v>
      </c>
      <c r="E33" s="1">
        <v>2026</v>
      </c>
      <c r="F33" s="1">
        <v>2027</v>
      </c>
      <c r="G33" s="4" t="s">
        <v>11</v>
      </c>
      <c r="I33" s="1" t="s">
        <v>18</v>
      </c>
    </row>
    <row r="34" spans="1:9" ht="30" x14ac:dyDescent="0.25">
      <c r="A34" s="27" t="s">
        <v>142</v>
      </c>
      <c r="B34" s="27">
        <v>27313</v>
      </c>
      <c r="C34" s="10" t="s">
        <v>19</v>
      </c>
      <c r="D34" s="3" t="s">
        <v>24</v>
      </c>
      <c r="E34" s="1">
        <v>2026</v>
      </c>
      <c r="F34" s="1">
        <v>2027</v>
      </c>
      <c r="G34" s="4" t="s">
        <v>11</v>
      </c>
      <c r="I34" s="1" t="s">
        <v>12</v>
      </c>
    </row>
    <row r="35" spans="1:9" ht="30" x14ac:dyDescent="0.25">
      <c r="A35" s="27" t="s">
        <v>143</v>
      </c>
      <c r="B35" s="27">
        <v>23161</v>
      </c>
      <c r="C35" s="10" t="s">
        <v>19</v>
      </c>
      <c r="D35" s="3" t="s">
        <v>24</v>
      </c>
      <c r="E35" s="1">
        <v>2026</v>
      </c>
      <c r="F35" s="1">
        <v>2027</v>
      </c>
      <c r="G35" s="4" t="s">
        <v>11</v>
      </c>
      <c r="I35" s="1" t="s">
        <v>13</v>
      </c>
    </row>
    <row r="36" spans="1:9" x14ac:dyDescent="0.25">
      <c r="A36" s="27" t="s">
        <v>144</v>
      </c>
      <c r="B36" s="27">
        <v>19968</v>
      </c>
      <c r="C36" s="10" t="s">
        <v>19</v>
      </c>
      <c r="D36" s="3" t="s">
        <v>24</v>
      </c>
      <c r="E36" s="1">
        <v>2026</v>
      </c>
      <c r="F36" s="1">
        <v>2027</v>
      </c>
      <c r="G36" s="4" t="s">
        <v>11</v>
      </c>
      <c r="I36" s="1" t="s">
        <v>24</v>
      </c>
    </row>
    <row r="37" spans="1:9" x14ac:dyDescent="0.25">
      <c r="A37" s="27" t="s">
        <v>144</v>
      </c>
      <c r="B37" s="27">
        <v>19969</v>
      </c>
      <c r="C37" s="10" t="s">
        <v>19</v>
      </c>
      <c r="D37" s="3" t="s">
        <v>24</v>
      </c>
      <c r="E37" s="1">
        <v>2026</v>
      </c>
      <c r="F37" s="1">
        <v>2027</v>
      </c>
      <c r="G37" s="4" t="s">
        <v>11</v>
      </c>
      <c r="I37" s="1" t="s">
        <v>14</v>
      </c>
    </row>
    <row r="38" spans="1:9" x14ac:dyDescent="0.25">
      <c r="A38" s="27" t="s">
        <v>144</v>
      </c>
      <c r="B38" s="27">
        <v>19970</v>
      </c>
      <c r="C38" s="10" t="s">
        <v>19</v>
      </c>
      <c r="D38" s="3" t="s">
        <v>24</v>
      </c>
      <c r="E38" s="1">
        <v>2026</v>
      </c>
      <c r="F38" s="1">
        <v>2027</v>
      </c>
      <c r="G38" s="4" t="s">
        <v>11</v>
      </c>
      <c r="I38" s="1" t="s">
        <v>15</v>
      </c>
    </row>
    <row r="39" spans="1:9" x14ac:dyDescent="0.25">
      <c r="A39" s="27" t="s">
        <v>144</v>
      </c>
      <c r="B39" s="27">
        <v>19971</v>
      </c>
      <c r="C39" s="10" t="s">
        <v>19</v>
      </c>
      <c r="D39" s="3" t="s">
        <v>24</v>
      </c>
      <c r="E39" s="1">
        <v>2026</v>
      </c>
      <c r="F39" s="1">
        <v>2027</v>
      </c>
      <c r="G39" s="4" t="s">
        <v>11</v>
      </c>
      <c r="I39" s="1" t="s">
        <v>20</v>
      </c>
    </row>
    <row r="40" spans="1:9" x14ac:dyDescent="0.25">
      <c r="A40" s="27" t="s">
        <v>144</v>
      </c>
      <c r="B40" s="27">
        <v>19972</v>
      </c>
      <c r="C40" s="10" t="s">
        <v>19</v>
      </c>
      <c r="D40" s="3" t="s">
        <v>24</v>
      </c>
      <c r="E40" s="1">
        <v>2026</v>
      </c>
      <c r="F40" s="1">
        <v>2027</v>
      </c>
      <c r="G40" s="4" t="s">
        <v>11</v>
      </c>
      <c r="I40" s="1" t="s">
        <v>16</v>
      </c>
    </row>
    <row r="41" spans="1:9" x14ac:dyDescent="0.25">
      <c r="A41" s="27" t="s">
        <v>144</v>
      </c>
      <c r="B41" s="27">
        <v>19974</v>
      </c>
      <c r="C41" s="10" t="s">
        <v>19</v>
      </c>
      <c r="D41" s="3" t="s">
        <v>24</v>
      </c>
      <c r="E41" s="1">
        <v>2026</v>
      </c>
      <c r="F41" s="1">
        <v>2027</v>
      </c>
      <c r="G41" s="4" t="s">
        <v>11</v>
      </c>
      <c r="I41" s="1" t="s">
        <v>17</v>
      </c>
    </row>
    <row r="42" spans="1:9" x14ac:dyDescent="0.25">
      <c r="A42" s="27" t="s">
        <v>144</v>
      </c>
      <c r="B42" s="27">
        <v>19975</v>
      </c>
      <c r="C42" s="10" t="s">
        <v>19</v>
      </c>
      <c r="D42" s="3" t="s">
        <v>24</v>
      </c>
      <c r="E42" s="1">
        <v>2026</v>
      </c>
      <c r="F42" s="1">
        <v>2027</v>
      </c>
      <c r="G42" s="4" t="s">
        <v>11</v>
      </c>
      <c r="I42" s="1" t="s">
        <v>21</v>
      </c>
    </row>
    <row r="43" spans="1:9" x14ac:dyDescent="0.25">
      <c r="A43" s="27" t="s">
        <v>144</v>
      </c>
      <c r="B43" s="27">
        <v>19976</v>
      </c>
      <c r="C43" s="10" t="s">
        <v>19</v>
      </c>
      <c r="D43" s="3" t="s">
        <v>24</v>
      </c>
      <c r="E43" s="1">
        <v>2026</v>
      </c>
      <c r="F43" s="1">
        <v>2027</v>
      </c>
      <c r="G43" s="4" t="s">
        <v>11</v>
      </c>
      <c r="I43" s="1" t="s">
        <v>22</v>
      </c>
    </row>
    <row r="44" spans="1:9" x14ac:dyDescent="0.25">
      <c r="A44" s="27" t="s">
        <v>145</v>
      </c>
      <c r="B44" s="27">
        <v>24502</v>
      </c>
      <c r="C44" s="10" t="s">
        <v>19</v>
      </c>
      <c r="D44" s="3" t="s">
        <v>24</v>
      </c>
      <c r="E44" s="1">
        <v>2026</v>
      </c>
      <c r="F44" s="1">
        <v>2027</v>
      </c>
      <c r="G44" s="4" t="s">
        <v>11</v>
      </c>
      <c r="I44" s="1" t="s">
        <v>23</v>
      </c>
    </row>
    <row r="45" spans="1:9" x14ac:dyDescent="0.25">
      <c r="A45" s="27" t="s">
        <v>146</v>
      </c>
      <c r="B45" s="27">
        <v>21040</v>
      </c>
      <c r="C45" s="10" t="s">
        <v>19</v>
      </c>
      <c r="D45" s="3" t="s">
        <v>24</v>
      </c>
      <c r="E45" s="1">
        <v>2026</v>
      </c>
      <c r="F45" s="1">
        <v>2027</v>
      </c>
      <c r="G45" s="4" t="s">
        <v>11</v>
      </c>
      <c r="I45" s="1" t="s">
        <v>18</v>
      </c>
    </row>
    <row r="46" spans="1:9" x14ac:dyDescent="0.25">
      <c r="A46" s="27" t="s">
        <v>147</v>
      </c>
      <c r="B46" s="27">
        <v>21041</v>
      </c>
      <c r="C46" s="10" t="s">
        <v>19</v>
      </c>
      <c r="D46" s="3" t="s">
        <v>24</v>
      </c>
      <c r="E46" s="1">
        <v>2026</v>
      </c>
      <c r="F46" s="1">
        <v>2027</v>
      </c>
      <c r="G46" s="4" t="s">
        <v>11</v>
      </c>
      <c r="I46" s="1" t="s">
        <v>12</v>
      </c>
    </row>
    <row r="47" spans="1:9" x14ac:dyDescent="0.25">
      <c r="A47" s="27" t="s">
        <v>148</v>
      </c>
      <c r="B47" s="27">
        <v>20231</v>
      </c>
      <c r="C47" s="10" t="s">
        <v>19</v>
      </c>
      <c r="D47" s="3" t="s">
        <v>24</v>
      </c>
      <c r="E47" s="1">
        <v>2026</v>
      </c>
      <c r="F47" s="1">
        <v>2027</v>
      </c>
      <c r="G47" s="4" t="s">
        <v>11</v>
      </c>
      <c r="I47" s="1" t="s">
        <v>13</v>
      </c>
    </row>
    <row r="48" spans="1:9" x14ac:dyDescent="0.25">
      <c r="A48" s="27"/>
      <c r="B48" s="27"/>
      <c r="C48" s="10"/>
      <c r="D48" s="3"/>
      <c r="G48" s="4"/>
    </row>
    <row r="49" spans="1:7" x14ac:dyDescent="0.25">
      <c r="A49" s="27"/>
      <c r="B49" s="27"/>
      <c r="C49" s="10"/>
      <c r="D49" s="3"/>
      <c r="G49" s="4"/>
    </row>
    <row r="50" spans="1:7" x14ac:dyDescent="0.25">
      <c r="A50" s="27"/>
      <c r="B50" s="27"/>
      <c r="C50" s="10"/>
      <c r="D50" s="3"/>
      <c r="G50" s="4"/>
    </row>
    <row r="51" spans="1:7" x14ac:dyDescent="0.25">
      <c r="A51" s="27"/>
      <c r="B51" s="27"/>
      <c r="C51" s="10"/>
      <c r="D51" s="3"/>
      <c r="G51" s="4"/>
    </row>
    <row r="52" spans="1:7" x14ac:dyDescent="0.25">
      <c r="A52" s="27"/>
      <c r="B52" s="27"/>
      <c r="C52" s="10"/>
      <c r="D52" s="3"/>
      <c r="G52" s="4"/>
    </row>
    <row r="53" spans="1:7" x14ac:dyDescent="0.25">
      <c r="A53" s="27"/>
      <c r="B53" s="27"/>
      <c r="C53" s="10"/>
      <c r="D53" s="3"/>
      <c r="G53" s="4"/>
    </row>
    <row r="54" spans="1:7" x14ac:dyDescent="0.25">
      <c r="A54" s="27"/>
      <c r="B54" s="27"/>
      <c r="C54" s="10"/>
      <c r="D54" s="3"/>
      <c r="G54" s="4"/>
    </row>
    <row r="55" spans="1:7" x14ac:dyDescent="0.25">
      <c r="A55" s="27"/>
      <c r="B55" s="27"/>
      <c r="C55" s="10"/>
      <c r="D55" s="3"/>
      <c r="G55" s="4"/>
    </row>
    <row r="56" spans="1:7" x14ac:dyDescent="0.25">
      <c r="A56" s="27"/>
      <c r="B56" s="27"/>
      <c r="C56" s="10"/>
      <c r="D56" s="3"/>
      <c r="G56" s="4"/>
    </row>
    <row r="57" spans="1:7" x14ac:dyDescent="0.25">
      <c r="A57" s="27"/>
      <c r="B57" s="27"/>
      <c r="C57" s="10"/>
      <c r="D57" s="3"/>
      <c r="G57" s="4"/>
    </row>
    <row r="58" spans="1:7" x14ac:dyDescent="0.25">
      <c r="A58" s="27"/>
      <c r="B58" s="27"/>
      <c r="C58" s="10"/>
      <c r="D58" s="3"/>
      <c r="G58" s="4"/>
    </row>
    <row r="59" spans="1:7" x14ac:dyDescent="0.25">
      <c r="A59" s="27"/>
      <c r="B59" s="27"/>
      <c r="C59" s="10"/>
      <c r="D59" s="3"/>
      <c r="G59" s="4"/>
    </row>
    <row r="60" spans="1:7" x14ac:dyDescent="0.25">
      <c r="A60" s="27"/>
      <c r="B60" s="27"/>
      <c r="C60" s="10"/>
      <c r="D60" s="3"/>
      <c r="G60" s="4"/>
    </row>
    <row r="61" spans="1:7" x14ac:dyDescent="0.25">
      <c r="A61" s="27"/>
      <c r="B61" s="27"/>
      <c r="C61" s="10"/>
      <c r="D61" s="3"/>
      <c r="G61" s="4"/>
    </row>
    <row r="62" spans="1:7" x14ac:dyDescent="0.25">
      <c r="A62" s="27"/>
      <c r="B62" s="27"/>
      <c r="C62" s="10"/>
      <c r="D62" s="3"/>
      <c r="G62" s="4"/>
    </row>
    <row r="63" spans="1:7" x14ac:dyDescent="0.25">
      <c r="A63" s="27"/>
      <c r="B63" s="27"/>
      <c r="C63" s="10"/>
      <c r="D63" s="3"/>
      <c r="G63" s="4"/>
    </row>
    <row r="64" spans="1:7" x14ac:dyDescent="0.25">
      <c r="A64" s="27"/>
      <c r="B64" s="27"/>
      <c r="C64" s="10"/>
      <c r="D64" s="3"/>
      <c r="G64" s="4"/>
    </row>
    <row r="65" spans="1:7" x14ac:dyDescent="0.25">
      <c r="A65" s="27"/>
      <c r="B65" s="27"/>
      <c r="C65" s="10"/>
      <c r="D65" s="3"/>
      <c r="G65" s="4"/>
    </row>
    <row r="66" spans="1:7" x14ac:dyDescent="0.25">
      <c r="A66" s="27"/>
      <c r="B66" s="27"/>
      <c r="C66" s="10"/>
      <c r="D66" s="3"/>
      <c r="G66" s="4"/>
    </row>
    <row r="67" spans="1:7" x14ac:dyDescent="0.25">
      <c r="A67" s="27"/>
      <c r="B67" s="27"/>
      <c r="C67" s="10"/>
      <c r="D67" s="3"/>
      <c r="G67" s="4"/>
    </row>
    <row r="68" spans="1:7" x14ac:dyDescent="0.25">
      <c r="A68" s="27"/>
      <c r="B68" s="27"/>
      <c r="C68" s="10"/>
      <c r="D68" s="3"/>
      <c r="G68" s="4"/>
    </row>
    <row r="69" spans="1:7" x14ac:dyDescent="0.25">
      <c r="A69" s="27"/>
      <c r="B69" s="27"/>
      <c r="C69" s="10"/>
      <c r="D69" s="3"/>
      <c r="G69" s="4"/>
    </row>
    <row r="70" spans="1:7" x14ac:dyDescent="0.25">
      <c r="A70" s="27"/>
      <c r="B70" s="27"/>
      <c r="C70" s="10"/>
      <c r="D70" s="3"/>
      <c r="G70" s="4"/>
    </row>
    <row r="71" spans="1:7" x14ac:dyDescent="0.25">
      <c r="A71" s="27"/>
      <c r="B71" s="27"/>
      <c r="C71" s="10"/>
      <c r="D71" s="3"/>
      <c r="G71" s="4"/>
    </row>
    <row r="72" spans="1:7" x14ac:dyDescent="0.25">
      <c r="A72" s="27"/>
      <c r="B72" s="27"/>
      <c r="C72" s="10"/>
      <c r="D72" s="3"/>
      <c r="G72" s="4"/>
    </row>
    <row r="73" spans="1:7" x14ac:dyDescent="0.25">
      <c r="A73" s="27"/>
      <c r="B73" s="27"/>
      <c r="C73" s="10"/>
      <c r="D73" s="3"/>
      <c r="G73" s="4"/>
    </row>
    <row r="74" spans="1:7" x14ac:dyDescent="0.25">
      <c r="A74" s="27"/>
      <c r="B74" s="27"/>
      <c r="C74" s="10"/>
      <c r="D74" s="3"/>
      <c r="G74" s="4"/>
    </row>
    <row r="75" spans="1:7" x14ac:dyDescent="0.25">
      <c r="A75" s="27"/>
      <c r="B75" s="27"/>
      <c r="C75" s="10"/>
      <c r="D75" s="3"/>
      <c r="G75" s="4"/>
    </row>
    <row r="76" spans="1:7" x14ac:dyDescent="0.25">
      <c r="A76" s="27"/>
      <c r="B76" s="27"/>
      <c r="C76" s="10"/>
      <c r="D76" s="3"/>
      <c r="G76" s="4"/>
    </row>
    <row r="77" spans="1:7" x14ac:dyDescent="0.25">
      <c r="A77" s="27"/>
      <c r="B77" s="27"/>
      <c r="C77" s="10"/>
      <c r="D77" s="3"/>
      <c r="G77" s="4"/>
    </row>
    <row r="78" spans="1:7" x14ac:dyDescent="0.25">
      <c r="A78" s="27"/>
      <c r="B78" s="27"/>
      <c r="C78" s="10"/>
      <c r="D78" s="3"/>
      <c r="G78" s="4"/>
    </row>
    <row r="79" spans="1:7" x14ac:dyDescent="0.25">
      <c r="A79" s="27"/>
      <c r="B79" s="27"/>
      <c r="C79" s="10"/>
      <c r="D79" s="3"/>
      <c r="G79" s="4"/>
    </row>
    <row r="80" spans="1:7" x14ac:dyDescent="0.25">
      <c r="A80" s="27"/>
      <c r="B80" s="27"/>
      <c r="C80" s="10"/>
      <c r="D80" s="3"/>
      <c r="G80" s="4"/>
    </row>
    <row r="81" spans="1:7" x14ac:dyDescent="0.25">
      <c r="A81" s="27"/>
      <c r="B81" s="27"/>
      <c r="C81" s="10"/>
      <c r="D81" s="3"/>
      <c r="G81" s="4"/>
    </row>
    <row r="82" spans="1:7" x14ac:dyDescent="0.25">
      <c r="A82" s="27"/>
      <c r="B82" s="27"/>
      <c r="C82" s="10"/>
      <c r="D82" s="3"/>
      <c r="G82" s="4"/>
    </row>
    <row r="83" spans="1:7" x14ac:dyDescent="0.25">
      <c r="A83" s="27"/>
      <c r="B83" s="27"/>
      <c r="C83" s="10"/>
      <c r="D83" s="3"/>
      <c r="G83" s="4"/>
    </row>
    <row r="84" spans="1:7" x14ac:dyDescent="0.25">
      <c r="A84" s="27"/>
      <c r="B84" s="27"/>
      <c r="C84" s="10"/>
      <c r="D84" s="3"/>
      <c r="G84" s="4"/>
    </row>
    <row r="85" spans="1:7" x14ac:dyDescent="0.25">
      <c r="A85" s="27"/>
      <c r="B85" s="27"/>
      <c r="C85" s="10"/>
      <c r="D85" s="3"/>
      <c r="G85" s="4"/>
    </row>
    <row r="86" spans="1:7" x14ac:dyDescent="0.25">
      <c r="A86" s="27"/>
      <c r="B86" s="27"/>
      <c r="C86" s="10"/>
      <c r="D86" s="3"/>
      <c r="G86" s="4"/>
    </row>
    <row r="87" spans="1:7" x14ac:dyDescent="0.25">
      <c r="A87" s="27"/>
      <c r="B87" s="27"/>
      <c r="C87" s="10"/>
      <c r="D87" s="3"/>
      <c r="G87" s="4"/>
    </row>
    <row r="88" spans="1:7" x14ac:dyDescent="0.25">
      <c r="A88" s="27"/>
      <c r="B88" s="27"/>
      <c r="C88" s="10"/>
      <c r="D88" s="3"/>
      <c r="G88" s="4"/>
    </row>
    <row r="89" spans="1:7" x14ac:dyDescent="0.25">
      <c r="A89" s="27"/>
      <c r="B89" s="27"/>
      <c r="C89" s="10"/>
      <c r="D89" s="3"/>
      <c r="G89" s="4"/>
    </row>
    <row r="90" spans="1:7" x14ac:dyDescent="0.25">
      <c r="A90" s="27"/>
      <c r="B90" s="27"/>
      <c r="C90" s="10"/>
      <c r="D90" s="3"/>
      <c r="G90" s="4"/>
    </row>
    <row r="91" spans="1:7" x14ac:dyDescent="0.25">
      <c r="A91" s="27"/>
      <c r="B91" s="27"/>
      <c r="C91" s="10"/>
      <c r="D91" s="3"/>
      <c r="G91" s="4"/>
    </row>
    <row r="92" spans="1:7" x14ac:dyDescent="0.25">
      <c r="A92" s="27"/>
      <c r="B92" s="27"/>
      <c r="C92" s="10"/>
      <c r="D92" s="3"/>
      <c r="G92" s="4"/>
    </row>
    <row r="93" spans="1:7" x14ac:dyDescent="0.25">
      <c r="A93" s="27"/>
      <c r="B93" s="27"/>
      <c r="C93" s="10"/>
      <c r="D93" s="3"/>
      <c r="G93" s="4"/>
    </row>
    <row r="94" spans="1:7" x14ac:dyDescent="0.25">
      <c r="A94" s="27"/>
      <c r="B94" s="27"/>
      <c r="C94" s="10"/>
      <c r="D94" s="3"/>
      <c r="G94" s="4"/>
    </row>
    <row r="95" spans="1:7" x14ac:dyDescent="0.25">
      <c r="A95" s="27"/>
      <c r="B95" s="27"/>
      <c r="C95" s="10"/>
      <c r="D95" s="3"/>
      <c r="G95" s="4"/>
    </row>
    <row r="96" spans="1:7" x14ac:dyDescent="0.25">
      <c r="A96" s="27"/>
      <c r="B96" s="27"/>
      <c r="C96" s="10"/>
      <c r="D96" s="3"/>
      <c r="G96" s="4"/>
    </row>
    <row r="97" spans="1:7" x14ac:dyDescent="0.25">
      <c r="A97" s="27"/>
      <c r="B97" s="27"/>
      <c r="C97" s="10"/>
      <c r="D97" s="3"/>
      <c r="G97" s="4"/>
    </row>
    <row r="98" spans="1:7" x14ac:dyDescent="0.25">
      <c r="A98" s="28"/>
      <c r="B98" s="28"/>
      <c r="C98" s="26"/>
      <c r="D98" s="3"/>
      <c r="G98" s="4"/>
    </row>
    <row r="99" spans="1:7" x14ac:dyDescent="0.25">
      <c r="A99" s="28"/>
      <c r="B99" s="28"/>
      <c r="C99" s="26"/>
      <c r="D99" s="3"/>
      <c r="G99" s="4"/>
    </row>
    <row r="100" spans="1:7" x14ac:dyDescent="0.25">
      <c r="A100" s="28"/>
      <c r="B100" s="28"/>
      <c r="C100" s="26"/>
      <c r="D100" s="3"/>
      <c r="G100" s="4"/>
    </row>
    <row r="101" spans="1:7" x14ac:dyDescent="0.25">
      <c r="A101" s="28"/>
      <c r="B101" s="28"/>
      <c r="C101" s="26"/>
      <c r="D101" s="3"/>
      <c r="G101" s="4"/>
    </row>
    <row r="102" spans="1:7" x14ac:dyDescent="0.25">
      <c r="A102" s="28"/>
      <c r="B102" s="28"/>
      <c r="C102" s="26"/>
      <c r="D102" s="3"/>
      <c r="G102" s="4"/>
    </row>
    <row r="103" spans="1:7" x14ac:dyDescent="0.25">
      <c r="A103" s="28"/>
      <c r="B103" s="28"/>
      <c r="C103" s="26"/>
      <c r="D103" s="3"/>
      <c r="G103" s="4"/>
    </row>
    <row r="104" spans="1:7" x14ac:dyDescent="0.25">
      <c r="A104" s="28"/>
      <c r="B104" s="28"/>
      <c r="C104" s="26"/>
      <c r="D104" s="3"/>
      <c r="G104" s="4"/>
    </row>
    <row r="105" spans="1:7" x14ac:dyDescent="0.25">
      <c r="A105" s="28"/>
      <c r="B105" s="28"/>
      <c r="C105" s="26"/>
      <c r="D105" s="3"/>
      <c r="G105" s="4"/>
    </row>
    <row r="106" spans="1:7" x14ac:dyDescent="0.25">
      <c r="A106" s="28"/>
      <c r="B106" s="28"/>
      <c r="C106" s="26"/>
      <c r="D106" s="3"/>
      <c r="G106" s="4"/>
    </row>
    <row r="107" spans="1:7" x14ac:dyDescent="0.25">
      <c r="A107" s="28"/>
      <c r="B107" s="28"/>
      <c r="C107" s="26"/>
      <c r="D107" s="3"/>
      <c r="G107" s="4"/>
    </row>
    <row r="108" spans="1:7" x14ac:dyDescent="0.25">
      <c r="A108" s="28"/>
      <c r="B108" s="28"/>
      <c r="C108" s="26"/>
      <c r="D108" s="3"/>
      <c r="G108" s="4"/>
    </row>
    <row r="109" spans="1:7" x14ac:dyDescent="0.25">
      <c r="A109" s="28"/>
      <c r="B109" s="28"/>
      <c r="C109" s="26"/>
      <c r="D109" s="3"/>
      <c r="G109" s="4"/>
    </row>
    <row r="110" spans="1:7" x14ac:dyDescent="0.25">
      <c r="A110" s="28"/>
      <c r="B110" s="28"/>
      <c r="C110" s="26"/>
      <c r="D110" s="3"/>
      <c r="G110" s="4"/>
    </row>
    <row r="111" spans="1:7" x14ac:dyDescent="0.25">
      <c r="A111" s="28"/>
      <c r="B111" s="28"/>
      <c r="C111" s="26"/>
      <c r="D111" s="3"/>
      <c r="G111" s="4"/>
    </row>
    <row r="112" spans="1:7" x14ac:dyDescent="0.25">
      <c r="A112" s="28"/>
      <c r="B112" s="28"/>
      <c r="C112" s="26"/>
      <c r="D112" s="3"/>
      <c r="G112" s="4"/>
    </row>
    <row r="113" spans="1:7" x14ac:dyDescent="0.25">
      <c r="A113" s="28"/>
      <c r="B113" s="28"/>
      <c r="C113" s="26"/>
      <c r="D113" s="3"/>
      <c r="G113" s="4"/>
    </row>
    <row r="114" spans="1:7" x14ac:dyDescent="0.25">
      <c r="A114" s="28"/>
      <c r="B114" s="28"/>
      <c r="C114" s="26"/>
      <c r="D114" s="3"/>
      <c r="G114" s="4"/>
    </row>
    <row r="115" spans="1:7" x14ac:dyDescent="0.25">
      <c r="A115" s="28"/>
      <c r="B115" s="28"/>
      <c r="C115" s="26"/>
      <c r="D115" s="3"/>
      <c r="G115" s="4"/>
    </row>
    <row r="116" spans="1:7" x14ac:dyDescent="0.25">
      <c r="A116" s="28"/>
      <c r="B116" s="28"/>
      <c r="C116" s="26"/>
      <c r="D116" s="3"/>
      <c r="G116" s="4"/>
    </row>
    <row r="117" spans="1:7" x14ac:dyDescent="0.25">
      <c r="A117" s="28"/>
      <c r="B117" s="28"/>
      <c r="C117" s="26"/>
      <c r="D117" s="3"/>
      <c r="G117" s="4"/>
    </row>
    <row r="118" spans="1:7" x14ac:dyDescent="0.25">
      <c r="A118" s="28"/>
      <c r="B118" s="28"/>
      <c r="C118" s="26"/>
      <c r="D118" s="3"/>
      <c r="G118" s="4"/>
    </row>
    <row r="119" spans="1:7" x14ac:dyDescent="0.25">
      <c r="A119" s="28"/>
      <c r="B119" s="28"/>
      <c r="C119" s="26"/>
      <c r="D119" s="3"/>
      <c r="G119" s="4"/>
    </row>
    <row r="120" spans="1:7" x14ac:dyDescent="0.25">
      <c r="A120" s="28"/>
      <c r="B120" s="28"/>
      <c r="C120" s="26"/>
      <c r="D120" s="3"/>
      <c r="G120" s="4"/>
    </row>
    <row r="121" spans="1:7" x14ac:dyDescent="0.25">
      <c r="A121" s="28"/>
      <c r="B121" s="28"/>
      <c r="C121" s="26"/>
      <c r="D121" s="3"/>
      <c r="G121" s="4"/>
    </row>
    <row r="122" spans="1:7" x14ac:dyDescent="0.25">
      <c r="A122" s="28"/>
      <c r="B122" s="28"/>
      <c r="C122" s="26"/>
      <c r="D122" s="3"/>
      <c r="G122" s="4"/>
    </row>
    <row r="123" spans="1:7" x14ac:dyDescent="0.25">
      <c r="A123" s="28"/>
      <c r="B123" s="28"/>
      <c r="C123" s="26"/>
      <c r="D123" s="3"/>
      <c r="G123" s="4"/>
    </row>
    <row r="124" spans="1:7" x14ac:dyDescent="0.25">
      <c r="A124" s="28"/>
      <c r="B124" s="28"/>
      <c r="C124" s="26"/>
      <c r="D124" s="3"/>
      <c r="G124" s="4"/>
    </row>
    <row r="125" spans="1:7" x14ac:dyDescent="0.25">
      <c r="A125" s="28"/>
      <c r="B125" s="28"/>
      <c r="C125" s="26"/>
      <c r="D125" s="3"/>
      <c r="G125" s="4"/>
    </row>
    <row r="126" spans="1:7" x14ac:dyDescent="0.25">
      <c r="A126" s="28"/>
      <c r="B126" s="28"/>
      <c r="C126" s="26"/>
      <c r="D126" s="3"/>
      <c r="G126" s="4"/>
    </row>
    <row r="127" spans="1:7" x14ac:dyDescent="0.25">
      <c r="A127" s="28"/>
      <c r="B127" s="28"/>
      <c r="C127" s="26"/>
      <c r="D127" s="3"/>
      <c r="G127" s="4"/>
    </row>
    <row r="128" spans="1:7" x14ac:dyDescent="0.25">
      <c r="A128" s="28"/>
      <c r="B128" s="28"/>
      <c r="C128" s="26"/>
      <c r="D128" s="3"/>
      <c r="G128" s="4"/>
    </row>
    <row r="129" spans="1:7" x14ac:dyDescent="0.25">
      <c r="A129" s="28"/>
      <c r="B129" s="28"/>
      <c r="C129" s="26"/>
      <c r="D129" s="3"/>
      <c r="G129" s="4"/>
    </row>
    <row r="130" spans="1:7" x14ac:dyDescent="0.25">
      <c r="A130" s="28"/>
      <c r="B130" s="28"/>
      <c r="C130" s="26"/>
      <c r="D130" s="3"/>
      <c r="G130" s="4"/>
    </row>
    <row r="131" spans="1:7" x14ac:dyDescent="0.25">
      <c r="A131" s="28"/>
      <c r="B131" s="28"/>
      <c r="C131" s="26"/>
      <c r="D131" s="3"/>
      <c r="G131" s="4"/>
    </row>
    <row r="132" spans="1:7" x14ac:dyDescent="0.25">
      <c r="A132" s="28"/>
      <c r="B132" s="28"/>
      <c r="C132" s="26"/>
      <c r="D132" s="3"/>
      <c r="G132" s="4"/>
    </row>
    <row r="133" spans="1:7" x14ac:dyDescent="0.25">
      <c r="A133" s="28"/>
      <c r="B133" s="28"/>
      <c r="C133" s="26"/>
      <c r="D133" s="3"/>
      <c r="G133" s="4"/>
    </row>
    <row r="134" spans="1:7" x14ac:dyDescent="0.25">
      <c r="A134" s="28"/>
      <c r="B134" s="28"/>
      <c r="C134" s="26"/>
      <c r="D134" s="3"/>
      <c r="G134" s="4"/>
    </row>
    <row r="135" spans="1:7" x14ac:dyDescent="0.25">
      <c r="A135" s="28"/>
      <c r="B135" s="28"/>
      <c r="C135" s="26"/>
      <c r="D135" s="3"/>
      <c r="G135" s="4"/>
    </row>
    <row r="136" spans="1:7" x14ac:dyDescent="0.25">
      <c r="A136" s="28"/>
      <c r="B136" s="28"/>
      <c r="C136" s="26"/>
      <c r="D136" s="3"/>
      <c r="G136" s="4"/>
    </row>
    <row r="137" spans="1:7" x14ac:dyDescent="0.25">
      <c r="A137" s="28"/>
      <c r="B137" s="28"/>
      <c r="C137" s="26"/>
      <c r="D137" s="3"/>
      <c r="G137" s="4"/>
    </row>
    <row r="138" spans="1:7" x14ac:dyDescent="0.25">
      <c r="A138" s="28"/>
      <c r="B138" s="28"/>
      <c r="C138" s="26"/>
      <c r="D138" s="3"/>
      <c r="G138" s="4"/>
    </row>
    <row r="139" spans="1:7" x14ac:dyDescent="0.25">
      <c r="A139" s="28"/>
      <c r="B139" s="28"/>
      <c r="C139" s="26"/>
      <c r="D139" s="3"/>
      <c r="G139" s="4"/>
    </row>
    <row r="140" spans="1:7" x14ac:dyDescent="0.25">
      <c r="A140" s="28"/>
      <c r="B140" s="28"/>
      <c r="C140" s="26"/>
      <c r="D140" s="3"/>
      <c r="G140" s="4"/>
    </row>
    <row r="141" spans="1:7" x14ac:dyDescent="0.25">
      <c r="A141" s="28"/>
      <c r="B141" s="28"/>
      <c r="C141" s="26"/>
      <c r="D141" s="3"/>
      <c r="G141" s="4"/>
    </row>
    <row r="142" spans="1:7" x14ac:dyDescent="0.25">
      <c r="A142" s="28"/>
      <c r="B142" s="28"/>
      <c r="C142" s="26"/>
      <c r="D142" s="3"/>
      <c r="G142" s="4"/>
    </row>
    <row r="143" spans="1:7" x14ac:dyDescent="0.25">
      <c r="A143" s="29"/>
      <c r="B143" s="29"/>
      <c r="C143" s="26"/>
      <c r="D143" s="3"/>
      <c r="G143" s="4"/>
    </row>
  </sheetData>
  <pageMargins left="0.7" right="0.7" top="0.75" bottom="0.75" header="0.511811023622047" footer="0.511811023622047"/>
  <pageSetup paperSize="9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7"/>
  <sheetViews>
    <sheetView topLeftCell="A77" zoomScale="80" zoomScaleNormal="80" workbookViewId="0">
      <selection activeCell="A99" sqref="A99"/>
    </sheetView>
  </sheetViews>
  <sheetFormatPr defaultColWidth="8.7109375" defaultRowHeight="15" x14ac:dyDescent="0.25"/>
  <cols>
    <col min="1" max="1" width="117.42578125" style="1" customWidth="1"/>
    <col min="2" max="2" width="49.42578125" style="1" customWidth="1"/>
    <col min="3" max="3" width="33.7109375" style="1" customWidth="1"/>
    <col min="4" max="4" width="21.7109375" style="1" customWidth="1"/>
    <col min="5" max="5" width="21.85546875" style="1" customWidth="1"/>
    <col min="6" max="6" width="17.5703125" style="1" customWidth="1"/>
    <col min="7" max="7" width="15.85546875" style="1" customWidth="1"/>
    <col min="8" max="8" width="23.7109375" style="1" customWidth="1"/>
    <col min="9" max="9" width="23.42578125" style="1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M1" s="2" t="s">
        <v>9</v>
      </c>
    </row>
    <row r="2" spans="1:14" ht="30" x14ac:dyDescent="0.25">
      <c r="A2" s="27" t="s">
        <v>25</v>
      </c>
      <c r="B2" s="27">
        <v>21647</v>
      </c>
      <c r="C2" s="10" t="s">
        <v>19</v>
      </c>
      <c r="D2" s="3" t="s">
        <v>24</v>
      </c>
      <c r="E2" s="1">
        <v>2026</v>
      </c>
      <c r="F2" s="1">
        <v>2027</v>
      </c>
      <c r="G2" s="4" t="s">
        <v>11</v>
      </c>
      <c r="I2" s="1" t="s">
        <v>15</v>
      </c>
      <c r="M2" s="2" t="s">
        <v>10</v>
      </c>
      <c r="N2" s="1">
        <v>8</v>
      </c>
    </row>
    <row r="3" spans="1:14" ht="30" x14ac:dyDescent="0.25">
      <c r="A3" s="27" t="s">
        <v>25</v>
      </c>
      <c r="B3" s="27">
        <v>21648</v>
      </c>
      <c r="C3" s="10" t="s">
        <v>19</v>
      </c>
      <c r="D3" s="3" t="s">
        <v>24</v>
      </c>
      <c r="E3" s="1">
        <v>2026</v>
      </c>
      <c r="F3" s="1">
        <v>2027</v>
      </c>
      <c r="G3" s="4" t="s">
        <v>11</v>
      </c>
      <c r="I3" s="1" t="s">
        <v>20</v>
      </c>
      <c r="M3" s="2"/>
      <c r="N3" s="5"/>
    </row>
    <row r="4" spans="1:14" ht="30" x14ac:dyDescent="0.25">
      <c r="A4" s="27" t="s">
        <v>25</v>
      </c>
      <c r="B4" s="27">
        <v>21649</v>
      </c>
      <c r="C4" s="10" t="s">
        <v>19</v>
      </c>
      <c r="D4" s="3" t="s">
        <v>24</v>
      </c>
      <c r="E4" s="1">
        <v>2026</v>
      </c>
      <c r="F4" s="1">
        <v>2027</v>
      </c>
      <c r="G4" s="4" t="s">
        <v>11</v>
      </c>
      <c r="I4" s="1" t="s">
        <v>16</v>
      </c>
      <c r="M4" s="2"/>
      <c r="N4" s="5"/>
    </row>
    <row r="5" spans="1:14" ht="30" x14ac:dyDescent="0.25">
      <c r="A5" s="27" t="s">
        <v>26</v>
      </c>
      <c r="B5" s="27">
        <v>16917</v>
      </c>
      <c r="C5" s="10" t="s">
        <v>19</v>
      </c>
      <c r="D5" s="3" t="s">
        <v>24</v>
      </c>
      <c r="E5" s="1">
        <v>2026</v>
      </c>
      <c r="F5" s="1">
        <v>2027</v>
      </c>
      <c r="G5" s="4" t="s">
        <v>11</v>
      </c>
      <c r="I5" s="1" t="s">
        <v>17</v>
      </c>
      <c r="M5" s="2"/>
      <c r="N5" s="5"/>
    </row>
    <row r="6" spans="1:14" ht="30" x14ac:dyDescent="0.25">
      <c r="A6" s="27" t="s">
        <v>26</v>
      </c>
      <c r="B6" s="27">
        <v>16918</v>
      </c>
      <c r="C6" s="10" t="s">
        <v>19</v>
      </c>
      <c r="D6" s="3" t="s">
        <v>24</v>
      </c>
      <c r="E6" s="1">
        <v>2026</v>
      </c>
      <c r="F6" s="1">
        <v>2027</v>
      </c>
      <c r="G6" s="4" t="s">
        <v>11</v>
      </c>
      <c r="I6" s="1" t="s">
        <v>21</v>
      </c>
    </row>
    <row r="7" spans="1:14" x14ac:dyDescent="0.25">
      <c r="A7" s="27" t="s">
        <v>27</v>
      </c>
      <c r="B7" s="27">
        <v>27823</v>
      </c>
      <c r="C7" s="10" t="s">
        <v>19</v>
      </c>
      <c r="D7" s="3" t="s">
        <v>24</v>
      </c>
      <c r="E7" s="1">
        <v>2026</v>
      </c>
      <c r="F7" s="1">
        <v>2027</v>
      </c>
      <c r="G7" s="4" t="s">
        <v>11</v>
      </c>
      <c r="I7" s="1" t="s">
        <v>22</v>
      </c>
    </row>
    <row r="8" spans="1:14" ht="15.75" customHeight="1" x14ac:dyDescent="0.25">
      <c r="A8" s="27" t="s">
        <v>28</v>
      </c>
      <c r="B8" s="27" t="s">
        <v>29</v>
      </c>
      <c r="C8" s="10" t="s">
        <v>19</v>
      </c>
      <c r="D8" s="3" t="s">
        <v>24</v>
      </c>
      <c r="E8" s="1">
        <v>2026</v>
      </c>
      <c r="F8" s="1">
        <v>2027</v>
      </c>
      <c r="G8" s="4" t="s">
        <v>11</v>
      </c>
      <c r="I8" s="1" t="s">
        <v>23</v>
      </c>
    </row>
    <row r="9" spans="1:14" ht="15.75" customHeight="1" x14ac:dyDescent="0.25">
      <c r="A9" s="27" t="s">
        <v>30</v>
      </c>
      <c r="B9" s="27" t="s">
        <v>31</v>
      </c>
      <c r="C9" s="10" t="s">
        <v>19</v>
      </c>
      <c r="D9" s="3" t="s">
        <v>24</v>
      </c>
      <c r="E9" s="1">
        <v>2026</v>
      </c>
      <c r="F9" s="1">
        <v>2027</v>
      </c>
      <c r="G9" s="4" t="s">
        <v>11</v>
      </c>
      <c r="I9" s="1" t="s">
        <v>18</v>
      </c>
    </row>
    <row r="10" spans="1:14" ht="16.5" customHeight="1" x14ac:dyDescent="0.25">
      <c r="A10" s="27" t="s">
        <v>32</v>
      </c>
      <c r="B10" s="27" t="s">
        <v>33</v>
      </c>
      <c r="C10" s="10" t="s">
        <v>19</v>
      </c>
      <c r="D10" s="3" t="s">
        <v>24</v>
      </c>
      <c r="E10" s="1">
        <v>2026</v>
      </c>
      <c r="F10" s="1">
        <v>2027</v>
      </c>
      <c r="G10" s="4" t="s">
        <v>11</v>
      </c>
      <c r="I10" s="1" t="s">
        <v>12</v>
      </c>
    </row>
    <row r="11" spans="1:14" x14ac:dyDescent="0.25">
      <c r="A11" s="27" t="s">
        <v>34</v>
      </c>
      <c r="B11" s="27" t="s">
        <v>35</v>
      </c>
      <c r="C11" s="10" t="s">
        <v>19</v>
      </c>
      <c r="D11" s="3" t="s">
        <v>24</v>
      </c>
      <c r="E11" s="1">
        <v>2026</v>
      </c>
      <c r="F11" s="1">
        <v>2027</v>
      </c>
      <c r="G11" s="4" t="s">
        <v>11</v>
      </c>
      <c r="I11" s="1" t="s">
        <v>13</v>
      </c>
    </row>
    <row r="12" spans="1:14" ht="15.75" customHeight="1" x14ac:dyDescent="0.25">
      <c r="A12" s="27" t="s">
        <v>36</v>
      </c>
      <c r="B12" s="27" t="s">
        <v>37</v>
      </c>
      <c r="C12" s="10" t="s">
        <v>19</v>
      </c>
      <c r="D12" s="3" t="s">
        <v>24</v>
      </c>
      <c r="E12" s="1">
        <v>2026</v>
      </c>
      <c r="F12" s="1">
        <v>2027</v>
      </c>
      <c r="G12" s="4" t="s">
        <v>11</v>
      </c>
      <c r="I12" s="1" t="s">
        <v>24</v>
      </c>
    </row>
    <row r="13" spans="1:14" x14ac:dyDescent="0.25">
      <c r="A13" s="27" t="s">
        <v>38</v>
      </c>
      <c r="B13" s="27" t="s">
        <v>39</v>
      </c>
      <c r="C13" s="10" t="s">
        <v>19</v>
      </c>
      <c r="D13" s="3" t="s">
        <v>24</v>
      </c>
      <c r="E13" s="1">
        <v>2026</v>
      </c>
      <c r="F13" s="1">
        <v>2027</v>
      </c>
      <c r="G13" s="4" t="s">
        <v>11</v>
      </c>
      <c r="I13" s="1" t="s">
        <v>14</v>
      </c>
    </row>
    <row r="14" spans="1:14" x14ac:dyDescent="0.25">
      <c r="A14" s="27" t="s">
        <v>38</v>
      </c>
      <c r="B14" s="27" t="s">
        <v>40</v>
      </c>
      <c r="C14" s="10" t="s">
        <v>19</v>
      </c>
      <c r="D14" s="3" t="s">
        <v>24</v>
      </c>
      <c r="E14" s="1">
        <v>2026</v>
      </c>
      <c r="F14" s="1">
        <v>2027</v>
      </c>
      <c r="G14" s="4" t="s">
        <v>11</v>
      </c>
      <c r="I14" s="1" t="s">
        <v>15</v>
      </c>
    </row>
    <row r="15" spans="1:14" x14ac:dyDescent="0.25">
      <c r="A15" s="27" t="s">
        <v>38</v>
      </c>
      <c r="B15" s="27" t="s">
        <v>41</v>
      </c>
      <c r="C15" s="10" t="s">
        <v>19</v>
      </c>
      <c r="D15" s="3" t="s">
        <v>24</v>
      </c>
      <c r="E15" s="1">
        <v>2026</v>
      </c>
      <c r="F15" s="1">
        <v>2027</v>
      </c>
      <c r="G15" s="4" t="s">
        <v>11</v>
      </c>
      <c r="I15" s="1" t="s">
        <v>20</v>
      </c>
    </row>
    <row r="16" spans="1:14" x14ac:dyDescent="0.25">
      <c r="A16" s="27" t="s">
        <v>38</v>
      </c>
      <c r="B16" s="27" t="s">
        <v>42</v>
      </c>
      <c r="C16" s="10" t="s">
        <v>19</v>
      </c>
      <c r="D16" s="3" t="s">
        <v>24</v>
      </c>
      <c r="E16" s="1">
        <v>2026</v>
      </c>
      <c r="F16" s="1">
        <v>2027</v>
      </c>
      <c r="G16" s="4" t="s">
        <v>11</v>
      </c>
      <c r="I16" s="1" t="s">
        <v>16</v>
      </c>
    </row>
    <row r="17" spans="1:9" x14ac:dyDescent="0.25">
      <c r="A17" s="27" t="s">
        <v>38</v>
      </c>
      <c r="B17" s="27" t="s">
        <v>43</v>
      </c>
      <c r="C17" s="10" t="s">
        <v>19</v>
      </c>
      <c r="D17" s="3" t="s">
        <v>24</v>
      </c>
      <c r="E17" s="1">
        <v>2026</v>
      </c>
      <c r="F17" s="1">
        <v>2027</v>
      </c>
      <c r="G17" s="4" t="s">
        <v>11</v>
      </c>
      <c r="I17" s="1" t="s">
        <v>17</v>
      </c>
    </row>
    <row r="18" spans="1:9" x14ac:dyDescent="0.25">
      <c r="A18" s="27" t="s">
        <v>38</v>
      </c>
      <c r="B18" s="27" t="s">
        <v>44</v>
      </c>
      <c r="C18" s="10" t="s">
        <v>19</v>
      </c>
      <c r="D18" s="3" t="s">
        <v>24</v>
      </c>
      <c r="E18" s="1">
        <v>2026</v>
      </c>
      <c r="F18" s="1">
        <v>2027</v>
      </c>
      <c r="G18" s="4" t="s">
        <v>11</v>
      </c>
      <c r="I18" s="1" t="s">
        <v>21</v>
      </c>
    </row>
    <row r="19" spans="1:9" x14ac:dyDescent="0.25">
      <c r="A19" s="27" t="s">
        <v>45</v>
      </c>
      <c r="B19" s="27" t="s">
        <v>46</v>
      </c>
      <c r="C19" s="10" t="s">
        <v>19</v>
      </c>
      <c r="D19" s="3" t="s">
        <v>24</v>
      </c>
      <c r="E19" s="1">
        <v>2026</v>
      </c>
      <c r="F19" s="1">
        <v>2027</v>
      </c>
      <c r="G19" s="4" t="s">
        <v>11</v>
      </c>
      <c r="I19" s="1" t="s">
        <v>22</v>
      </c>
    </row>
    <row r="20" spans="1:9" x14ac:dyDescent="0.25">
      <c r="A20" s="27" t="s">
        <v>45</v>
      </c>
      <c r="B20" s="27" t="s">
        <v>47</v>
      </c>
      <c r="C20" s="10" t="s">
        <v>19</v>
      </c>
      <c r="D20" s="3" t="s">
        <v>24</v>
      </c>
      <c r="E20" s="1">
        <v>2026</v>
      </c>
      <c r="F20" s="1">
        <v>2027</v>
      </c>
      <c r="G20" s="4" t="s">
        <v>11</v>
      </c>
      <c r="I20" s="1" t="s">
        <v>23</v>
      </c>
    </row>
    <row r="21" spans="1:9" ht="18" customHeight="1" x14ac:dyDescent="0.25">
      <c r="A21" s="27" t="s">
        <v>48</v>
      </c>
      <c r="B21" s="27">
        <v>13977</v>
      </c>
      <c r="C21" s="10" t="s">
        <v>19</v>
      </c>
      <c r="D21" s="3" t="s">
        <v>24</v>
      </c>
      <c r="E21" s="1">
        <v>2026</v>
      </c>
      <c r="F21" s="1">
        <v>2027</v>
      </c>
      <c r="G21" s="4" t="s">
        <v>11</v>
      </c>
      <c r="I21" s="1" t="s">
        <v>18</v>
      </c>
    </row>
    <row r="22" spans="1:9" ht="18" customHeight="1" x14ac:dyDescent="0.25">
      <c r="A22" s="27" t="s">
        <v>49</v>
      </c>
      <c r="B22" s="27">
        <v>13976</v>
      </c>
      <c r="C22" s="10" t="s">
        <v>19</v>
      </c>
      <c r="D22" s="3" t="s">
        <v>24</v>
      </c>
      <c r="E22" s="1">
        <v>2026</v>
      </c>
      <c r="F22" s="1">
        <v>2027</v>
      </c>
      <c r="G22" s="4" t="s">
        <v>11</v>
      </c>
      <c r="I22" s="1" t="s">
        <v>12</v>
      </c>
    </row>
    <row r="23" spans="1:9" ht="17.25" customHeight="1" x14ac:dyDescent="0.25">
      <c r="A23" s="27" t="s">
        <v>50</v>
      </c>
      <c r="B23" s="27">
        <v>16562</v>
      </c>
      <c r="C23" s="10" t="s">
        <v>19</v>
      </c>
      <c r="D23" s="3" t="s">
        <v>24</v>
      </c>
      <c r="E23" s="1">
        <v>2026</v>
      </c>
      <c r="F23" s="1">
        <v>2027</v>
      </c>
      <c r="G23" s="4" t="s">
        <v>11</v>
      </c>
      <c r="I23" s="1" t="s">
        <v>13</v>
      </c>
    </row>
    <row r="24" spans="1:9" ht="18" customHeight="1" x14ac:dyDescent="0.25">
      <c r="A24" s="27" t="s">
        <v>51</v>
      </c>
      <c r="B24" s="27">
        <v>23016</v>
      </c>
      <c r="C24" s="10" t="s">
        <v>19</v>
      </c>
      <c r="D24" s="3" t="s">
        <v>24</v>
      </c>
      <c r="E24" s="1">
        <v>2026</v>
      </c>
      <c r="F24" s="1">
        <v>2027</v>
      </c>
      <c r="G24" s="4" t="s">
        <v>11</v>
      </c>
      <c r="I24" s="1" t="s">
        <v>24</v>
      </c>
    </row>
    <row r="25" spans="1:9" ht="18.75" customHeight="1" x14ac:dyDescent="0.25">
      <c r="A25" s="27" t="s">
        <v>52</v>
      </c>
      <c r="B25" s="27">
        <v>18521</v>
      </c>
      <c r="C25" s="10" t="s">
        <v>19</v>
      </c>
      <c r="D25" s="3" t="s">
        <v>24</v>
      </c>
      <c r="E25" s="1">
        <v>2026</v>
      </c>
      <c r="F25" s="1">
        <v>2027</v>
      </c>
      <c r="G25" s="4" t="s">
        <v>11</v>
      </c>
      <c r="I25" s="1" t="s">
        <v>14</v>
      </c>
    </row>
    <row r="26" spans="1:9" x14ac:dyDescent="0.25">
      <c r="A26" s="27" t="s">
        <v>52</v>
      </c>
      <c r="B26" s="27">
        <v>18522</v>
      </c>
      <c r="C26" s="10" t="s">
        <v>19</v>
      </c>
      <c r="D26" s="3" t="s">
        <v>24</v>
      </c>
      <c r="E26" s="1">
        <v>2026</v>
      </c>
      <c r="F26" s="1">
        <v>2027</v>
      </c>
      <c r="G26" s="4" t="s">
        <v>11</v>
      </c>
      <c r="I26" s="1" t="s">
        <v>15</v>
      </c>
    </row>
    <row r="27" spans="1:9" x14ac:dyDescent="0.25">
      <c r="A27" s="27" t="s">
        <v>52</v>
      </c>
      <c r="B27" s="27">
        <v>19009</v>
      </c>
      <c r="C27" s="10" t="s">
        <v>19</v>
      </c>
      <c r="D27" s="3" t="s">
        <v>24</v>
      </c>
      <c r="E27" s="1">
        <v>2026</v>
      </c>
      <c r="F27" s="1">
        <v>2027</v>
      </c>
      <c r="G27" s="4" t="s">
        <v>11</v>
      </c>
      <c r="I27" s="1" t="s">
        <v>20</v>
      </c>
    </row>
    <row r="28" spans="1:9" x14ac:dyDescent="0.25">
      <c r="A28" s="27" t="s">
        <v>52</v>
      </c>
      <c r="B28" s="27">
        <v>19010</v>
      </c>
      <c r="C28" s="10" t="s">
        <v>19</v>
      </c>
      <c r="D28" s="3" t="s">
        <v>24</v>
      </c>
      <c r="E28" s="1">
        <v>2026</v>
      </c>
      <c r="F28" s="1">
        <v>2027</v>
      </c>
      <c r="G28" s="4" t="s">
        <v>11</v>
      </c>
      <c r="I28" s="1" t="s">
        <v>16</v>
      </c>
    </row>
    <row r="29" spans="1:9" x14ac:dyDescent="0.25">
      <c r="A29" s="27" t="s">
        <v>53</v>
      </c>
      <c r="B29" s="27" t="s">
        <v>54</v>
      </c>
      <c r="C29" s="10" t="s">
        <v>19</v>
      </c>
      <c r="D29" s="3" t="s">
        <v>24</v>
      </c>
      <c r="E29" s="1">
        <v>2026</v>
      </c>
      <c r="F29" s="1">
        <v>2027</v>
      </c>
      <c r="G29" s="4" t="s">
        <v>11</v>
      </c>
      <c r="I29" s="1" t="s">
        <v>17</v>
      </c>
    </row>
    <row r="30" spans="1:9" x14ac:dyDescent="0.25">
      <c r="A30" s="27" t="s">
        <v>55</v>
      </c>
      <c r="B30" s="27">
        <v>25599</v>
      </c>
      <c r="C30" s="10" t="s">
        <v>19</v>
      </c>
      <c r="D30" s="3" t="s">
        <v>24</v>
      </c>
      <c r="E30" s="1">
        <v>2026</v>
      </c>
      <c r="F30" s="1">
        <v>2027</v>
      </c>
      <c r="G30" s="4" t="s">
        <v>11</v>
      </c>
      <c r="I30" s="1" t="s">
        <v>21</v>
      </c>
    </row>
    <row r="31" spans="1:9" x14ac:dyDescent="0.25">
      <c r="A31" s="27" t="s">
        <v>56</v>
      </c>
      <c r="B31" s="27">
        <v>18520</v>
      </c>
      <c r="C31" s="10" t="s">
        <v>149</v>
      </c>
      <c r="D31" s="3" t="s">
        <v>24</v>
      </c>
      <c r="E31" s="1">
        <v>2026</v>
      </c>
      <c r="F31" s="1">
        <v>2027</v>
      </c>
      <c r="G31" s="4" t="s">
        <v>11</v>
      </c>
      <c r="I31" s="1" t="s">
        <v>22</v>
      </c>
    </row>
    <row r="32" spans="1:9" x14ac:dyDescent="0.25">
      <c r="A32" s="27" t="s">
        <v>56</v>
      </c>
      <c r="B32" s="27">
        <v>19011</v>
      </c>
      <c r="C32" s="10" t="s">
        <v>19</v>
      </c>
      <c r="D32" s="3" t="s">
        <v>24</v>
      </c>
      <c r="E32" s="1">
        <v>2026</v>
      </c>
      <c r="F32" s="1">
        <v>2027</v>
      </c>
      <c r="G32" s="4" t="s">
        <v>11</v>
      </c>
      <c r="I32" s="1" t="s">
        <v>23</v>
      </c>
    </row>
    <row r="33" spans="1:9" x14ac:dyDescent="0.25">
      <c r="A33" s="27" t="s">
        <v>56</v>
      </c>
      <c r="B33" s="27">
        <v>19012</v>
      </c>
      <c r="C33" s="10" t="s">
        <v>19</v>
      </c>
      <c r="D33" s="3" t="s">
        <v>24</v>
      </c>
      <c r="E33" s="1">
        <v>2026</v>
      </c>
      <c r="F33" s="1">
        <v>2027</v>
      </c>
      <c r="G33" s="4" t="s">
        <v>11</v>
      </c>
      <c r="I33" s="1" t="s">
        <v>18</v>
      </c>
    </row>
    <row r="34" spans="1:9" x14ac:dyDescent="0.25">
      <c r="A34" s="27" t="s">
        <v>57</v>
      </c>
      <c r="B34" s="27">
        <v>20331</v>
      </c>
      <c r="C34" s="10" t="s">
        <v>19</v>
      </c>
      <c r="D34" s="3" t="s">
        <v>24</v>
      </c>
      <c r="E34" s="1">
        <v>2026</v>
      </c>
      <c r="F34" s="1">
        <v>2027</v>
      </c>
      <c r="G34" s="4" t="s">
        <v>11</v>
      </c>
      <c r="I34" s="1" t="s">
        <v>12</v>
      </c>
    </row>
    <row r="35" spans="1:9" x14ac:dyDescent="0.25">
      <c r="A35" s="27" t="s">
        <v>57</v>
      </c>
      <c r="B35" s="27">
        <v>20332</v>
      </c>
      <c r="C35" s="10" t="s">
        <v>19</v>
      </c>
      <c r="D35" s="3" t="s">
        <v>24</v>
      </c>
      <c r="E35" s="1">
        <v>2026</v>
      </c>
      <c r="F35" s="1">
        <v>2027</v>
      </c>
      <c r="G35" s="4" t="s">
        <v>11</v>
      </c>
      <c r="I35" s="1" t="s">
        <v>13</v>
      </c>
    </row>
    <row r="36" spans="1:9" x14ac:dyDescent="0.25">
      <c r="A36" s="27" t="s">
        <v>58</v>
      </c>
      <c r="B36" s="27">
        <v>18523</v>
      </c>
      <c r="C36" s="10" t="s">
        <v>19</v>
      </c>
      <c r="D36" s="3" t="s">
        <v>24</v>
      </c>
      <c r="E36" s="1">
        <v>2026</v>
      </c>
      <c r="F36" s="1">
        <v>2027</v>
      </c>
      <c r="G36" s="4" t="s">
        <v>11</v>
      </c>
      <c r="I36" s="1" t="s">
        <v>24</v>
      </c>
    </row>
    <row r="37" spans="1:9" x14ac:dyDescent="0.25">
      <c r="A37" s="27" t="s">
        <v>59</v>
      </c>
      <c r="B37" s="27" t="s">
        <v>60</v>
      </c>
      <c r="C37" s="10" t="s">
        <v>19</v>
      </c>
      <c r="D37" s="3" t="s">
        <v>24</v>
      </c>
      <c r="E37" s="1">
        <v>2026</v>
      </c>
      <c r="F37" s="1">
        <v>2027</v>
      </c>
      <c r="G37" s="4" t="s">
        <v>11</v>
      </c>
      <c r="I37" s="1" t="s">
        <v>14</v>
      </c>
    </row>
    <row r="38" spans="1:9" x14ac:dyDescent="0.25">
      <c r="A38" s="27" t="s">
        <v>61</v>
      </c>
      <c r="B38" s="27" t="s">
        <v>62</v>
      </c>
      <c r="C38" s="10" t="s">
        <v>19</v>
      </c>
      <c r="D38" s="3" t="s">
        <v>24</v>
      </c>
      <c r="E38" s="1">
        <v>2026</v>
      </c>
      <c r="F38" s="1">
        <v>2027</v>
      </c>
      <c r="G38" s="4" t="s">
        <v>11</v>
      </c>
      <c r="I38" s="1" t="s">
        <v>15</v>
      </c>
    </row>
    <row r="39" spans="1:9" x14ac:dyDescent="0.25">
      <c r="A39" s="27" t="s">
        <v>61</v>
      </c>
      <c r="B39" s="27" t="s">
        <v>63</v>
      </c>
      <c r="C39" s="10" t="s">
        <v>19</v>
      </c>
      <c r="D39" s="3" t="s">
        <v>24</v>
      </c>
      <c r="E39" s="1">
        <v>2026</v>
      </c>
      <c r="F39" s="1">
        <v>2027</v>
      </c>
      <c r="G39" s="4" t="s">
        <v>11</v>
      </c>
      <c r="I39" s="1" t="s">
        <v>20</v>
      </c>
    </row>
    <row r="40" spans="1:9" x14ac:dyDescent="0.25">
      <c r="A40" s="27" t="s">
        <v>64</v>
      </c>
      <c r="B40" s="27" t="s">
        <v>65</v>
      </c>
      <c r="C40" s="10" t="s">
        <v>19</v>
      </c>
      <c r="D40" s="3" t="s">
        <v>24</v>
      </c>
      <c r="E40" s="1">
        <v>2026</v>
      </c>
      <c r="F40" s="1">
        <v>2027</v>
      </c>
      <c r="G40" s="4" t="s">
        <v>11</v>
      </c>
      <c r="I40" s="1" t="s">
        <v>16</v>
      </c>
    </row>
    <row r="41" spans="1:9" x14ac:dyDescent="0.25">
      <c r="A41" s="27" t="s">
        <v>66</v>
      </c>
      <c r="B41" s="27" t="s">
        <v>67</v>
      </c>
      <c r="C41" s="10" t="s">
        <v>19</v>
      </c>
      <c r="D41" s="3" t="s">
        <v>24</v>
      </c>
      <c r="E41" s="1">
        <v>2026</v>
      </c>
      <c r="F41" s="1">
        <v>2027</v>
      </c>
      <c r="G41" s="4" t="s">
        <v>11</v>
      </c>
      <c r="I41" s="1" t="s">
        <v>17</v>
      </c>
    </row>
    <row r="42" spans="1:9" ht="30" x14ac:dyDescent="0.25">
      <c r="A42" s="27" t="s">
        <v>68</v>
      </c>
      <c r="B42" s="27" t="s">
        <v>69</v>
      </c>
      <c r="C42" s="10" t="s">
        <v>19</v>
      </c>
      <c r="D42" s="3" t="s">
        <v>24</v>
      </c>
      <c r="E42" s="1">
        <v>2026</v>
      </c>
      <c r="F42" s="1">
        <v>2027</v>
      </c>
      <c r="G42" s="4" t="s">
        <v>11</v>
      </c>
      <c r="I42" s="1" t="s">
        <v>21</v>
      </c>
    </row>
    <row r="43" spans="1:9" x14ac:dyDescent="0.25">
      <c r="A43" s="27" t="s">
        <v>70</v>
      </c>
      <c r="B43" s="27" t="s">
        <v>71</v>
      </c>
      <c r="C43" s="10" t="s">
        <v>19</v>
      </c>
      <c r="D43" s="3" t="s">
        <v>24</v>
      </c>
      <c r="E43" s="1">
        <v>2026</v>
      </c>
      <c r="F43" s="1">
        <v>2027</v>
      </c>
      <c r="G43" s="4" t="s">
        <v>11</v>
      </c>
      <c r="I43" s="1" t="s">
        <v>22</v>
      </c>
    </row>
    <row r="44" spans="1:9" x14ac:dyDescent="0.25">
      <c r="A44" s="27" t="s">
        <v>72</v>
      </c>
      <c r="B44" s="27" t="s">
        <v>73</v>
      </c>
      <c r="C44" s="10" t="s">
        <v>19</v>
      </c>
      <c r="D44" s="3" t="s">
        <v>24</v>
      </c>
      <c r="E44" s="1">
        <v>2026</v>
      </c>
      <c r="F44" s="1">
        <v>2027</v>
      </c>
      <c r="G44" s="4" t="s">
        <v>11</v>
      </c>
      <c r="I44" s="1" t="s">
        <v>23</v>
      </c>
    </row>
    <row r="45" spans="1:9" x14ac:dyDescent="0.25">
      <c r="A45" s="27" t="s">
        <v>74</v>
      </c>
      <c r="B45" s="27" t="s">
        <v>75</v>
      </c>
      <c r="C45" s="10" t="s">
        <v>19</v>
      </c>
      <c r="D45" s="3" t="s">
        <v>24</v>
      </c>
      <c r="E45" s="1">
        <v>2026</v>
      </c>
      <c r="F45" s="1">
        <v>2027</v>
      </c>
      <c r="G45" s="4" t="s">
        <v>11</v>
      </c>
      <c r="I45" s="1" t="s">
        <v>18</v>
      </c>
    </row>
    <row r="46" spans="1:9" x14ac:dyDescent="0.25">
      <c r="A46" s="27" t="s">
        <v>74</v>
      </c>
      <c r="B46" s="27" t="s">
        <v>76</v>
      </c>
      <c r="C46" s="10" t="s">
        <v>19</v>
      </c>
      <c r="D46" s="3" t="s">
        <v>24</v>
      </c>
      <c r="E46" s="1">
        <v>2026</v>
      </c>
      <c r="F46" s="1">
        <v>2027</v>
      </c>
      <c r="G46" s="4" t="s">
        <v>11</v>
      </c>
      <c r="I46" s="1" t="s">
        <v>12</v>
      </c>
    </row>
    <row r="47" spans="1:9" x14ac:dyDescent="0.25">
      <c r="A47" s="27" t="s">
        <v>74</v>
      </c>
      <c r="B47" s="27" t="s">
        <v>77</v>
      </c>
      <c r="C47" s="10" t="s">
        <v>19</v>
      </c>
      <c r="D47" s="3" t="s">
        <v>24</v>
      </c>
      <c r="E47" s="1">
        <v>2026</v>
      </c>
      <c r="F47" s="1">
        <v>2027</v>
      </c>
      <c r="G47" s="4" t="s">
        <v>11</v>
      </c>
      <c r="I47" s="1" t="s">
        <v>13</v>
      </c>
    </row>
    <row r="48" spans="1:9" x14ac:dyDescent="0.25">
      <c r="A48" s="27" t="s">
        <v>74</v>
      </c>
      <c r="B48" s="27" t="s">
        <v>78</v>
      </c>
      <c r="C48" s="10" t="s">
        <v>19</v>
      </c>
      <c r="D48" s="3" t="s">
        <v>24</v>
      </c>
      <c r="E48" s="1">
        <v>2026</v>
      </c>
      <c r="F48" s="1">
        <v>2027</v>
      </c>
      <c r="G48" s="4" t="s">
        <v>11</v>
      </c>
      <c r="I48" s="1" t="s">
        <v>24</v>
      </c>
    </row>
    <row r="49" spans="1:9" x14ac:dyDescent="0.25">
      <c r="A49" s="27" t="s">
        <v>74</v>
      </c>
      <c r="B49" s="27" t="s">
        <v>79</v>
      </c>
      <c r="C49" s="10" t="s">
        <v>19</v>
      </c>
      <c r="D49" s="3" t="s">
        <v>24</v>
      </c>
      <c r="E49" s="1">
        <v>2026</v>
      </c>
      <c r="F49" s="1">
        <v>2027</v>
      </c>
      <c r="G49" s="4" t="s">
        <v>11</v>
      </c>
      <c r="I49" s="1" t="s">
        <v>14</v>
      </c>
    </row>
    <row r="50" spans="1:9" x14ac:dyDescent="0.25">
      <c r="A50" s="27" t="s">
        <v>74</v>
      </c>
      <c r="B50" s="27" t="s">
        <v>80</v>
      </c>
      <c r="C50" s="10" t="s">
        <v>19</v>
      </c>
      <c r="D50" s="3" t="s">
        <v>24</v>
      </c>
      <c r="E50" s="1">
        <v>2026</v>
      </c>
      <c r="F50" s="1">
        <v>2027</v>
      </c>
      <c r="G50" s="4" t="s">
        <v>11</v>
      </c>
      <c r="I50" s="1" t="s">
        <v>15</v>
      </c>
    </row>
    <row r="51" spans="1:9" x14ac:dyDescent="0.25">
      <c r="A51" s="27" t="s">
        <v>81</v>
      </c>
      <c r="B51" s="27" t="s">
        <v>82</v>
      </c>
      <c r="C51" s="10" t="s">
        <v>19</v>
      </c>
      <c r="D51" s="3" t="s">
        <v>24</v>
      </c>
      <c r="E51" s="1">
        <v>2026</v>
      </c>
      <c r="F51" s="1">
        <v>2027</v>
      </c>
      <c r="G51" s="4" t="s">
        <v>11</v>
      </c>
      <c r="I51" s="1" t="s">
        <v>20</v>
      </c>
    </row>
    <row r="52" spans="1:9" x14ac:dyDescent="0.25">
      <c r="A52" s="27" t="s">
        <v>81</v>
      </c>
      <c r="B52" s="27" t="s">
        <v>83</v>
      </c>
      <c r="C52" s="10" t="s">
        <v>19</v>
      </c>
      <c r="D52" s="3" t="s">
        <v>24</v>
      </c>
      <c r="E52" s="1">
        <v>2026</v>
      </c>
      <c r="F52" s="1">
        <v>2027</v>
      </c>
      <c r="G52" s="4" t="s">
        <v>11</v>
      </c>
      <c r="I52" s="1" t="s">
        <v>16</v>
      </c>
    </row>
    <row r="53" spans="1:9" x14ac:dyDescent="0.25">
      <c r="A53" s="27" t="s">
        <v>81</v>
      </c>
      <c r="B53" s="27" t="s">
        <v>84</v>
      </c>
      <c r="C53" s="10" t="s">
        <v>19</v>
      </c>
      <c r="D53" s="3" t="s">
        <v>24</v>
      </c>
      <c r="E53" s="1">
        <v>2026</v>
      </c>
      <c r="F53" s="1">
        <v>2027</v>
      </c>
      <c r="G53" s="4" t="s">
        <v>11</v>
      </c>
      <c r="I53" s="1" t="s">
        <v>17</v>
      </c>
    </row>
    <row r="54" spans="1:9" x14ac:dyDescent="0.25">
      <c r="A54" s="27" t="s">
        <v>81</v>
      </c>
      <c r="B54" s="27" t="s">
        <v>85</v>
      </c>
      <c r="C54" s="10" t="s">
        <v>19</v>
      </c>
      <c r="D54" s="3" t="s">
        <v>24</v>
      </c>
      <c r="E54" s="1">
        <v>2026</v>
      </c>
      <c r="F54" s="1">
        <v>2027</v>
      </c>
      <c r="G54" s="4" t="s">
        <v>11</v>
      </c>
      <c r="I54" s="1" t="s">
        <v>21</v>
      </c>
    </row>
    <row r="55" spans="1:9" x14ac:dyDescent="0.25">
      <c r="A55" s="27" t="s">
        <v>81</v>
      </c>
      <c r="B55" s="27" t="s">
        <v>86</v>
      </c>
      <c r="C55" s="10" t="s">
        <v>19</v>
      </c>
      <c r="D55" s="3" t="s">
        <v>24</v>
      </c>
      <c r="E55" s="1">
        <v>2026</v>
      </c>
      <c r="F55" s="1">
        <v>2027</v>
      </c>
      <c r="G55" s="4" t="s">
        <v>11</v>
      </c>
      <c r="I55" s="1" t="s">
        <v>22</v>
      </c>
    </row>
    <row r="56" spans="1:9" x14ac:dyDescent="0.25">
      <c r="A56" s="27" t="s">
        <v>81</v>
      </c>
      <c r="B56" s="27" t="s">
        <v>87</v>
      </c>
      <c r="C56" s="10" t="s">
        <v>19</v>
      </c>
      <c r="D56" s="3" t="s">
        <v>24</v>
      </c>
      <c r="E56" s="1">
        <v>2026</v>
      </c>
      <c r="F56" s="1">
        <v>2027</v>
      </c>
      <c r="G56" s="4" t="s">
        <v>11</v>
      </c>
      <c r="I56" s="1" t="s">
        <v>23</v>
      </c>
    </row>
    <row r="57" spans="1:9" x14ac:dyDescent="0.25">
      <c r="A57" s="27" t="s">
        <v>81</v>
      </c>
      <c r="B57" s="27" t="s">
        <v>88</v>
      </c>
      <c r="C57" s="10" t="s">
        <v>19</v>
      </c>
      <c r="D57" s="3" t="s">
        <v>24</v>
      </c>
      <c r="E57" s="1">
        <v>2026</v>
      </c>
      <c r="F57" s="1">
        <v>2027</v>
      </c>
      <c r="G57" s="4" t="s">
        <v>11</v>
      </c>
      <c r="I57" s="1" t="s">
        <v>18</v>
      </c>
    </row>
    <row r="58" spans="1:9" x14ac:dyDescent="0.25">
      <c r="A58" s="27" t="s">
        <v>81</v>
      </c>
      <c r="B58" s="27" t="s">
        <v>89</v>
      </c>
      <c r="C58" s="10" t="s">
        <v>19</v>
      </c>
      <c r="D58" s="3" t="s">
        <v>24</v>
      </c>
      <c r="E58" s="1">
        <v>2026</v>
      </c>
      <c r="F58" s="1">
        <v>2027</v>
      </c>
      <c r="G58" s="4" t="s">
        <v>11</v>
      </c>
      <c r="I58" s="1" t="s">
        <v>12</v>
      </c>
    </row>
    <row r="59" spans="1:9" x14ac:dyDescent="0.25">
      <c r="A59" s="27" t="s">
        <v>81</v>
      </c>
      <c r="B59" s="27" t="s">
        <v>90</v>
      </c>
      <c r="C59" s="10" t="s">
        <v>19</v>
      </c>
      <c r="D59" s="3" t="s">
        <v>24</v>
      </c>
      <c r="E59" s="1">
        <v>2026</v>
      </c>
      <c r="F59" s="1">
        <v>2027</v>
      </c>
      <c r="G59" s="4" t="s">
        <v>11</v>
      </c>
      <c r="I59" s="1" t="s">
        <v>13</v>
      </c>
    </row>
    <row r="60" spans="1:9" x14ac:dyDescent="0.25">
      <c r="A60" s="27" t="s">
        <v>91</v>
      </c>
      <c r="B60" s="27" t="s">
        <v>92</v>
      </c>
      <c r="C60" s="10" t="s">
        <v>19</v>
      </c>
      <c r="D60" s="3" t="s">
        <v>24</v>
      </c>
      <c r="E60" s="1">
        <v>2026</v>
      </c>
      <c r="F60" s="1">
        <v>2027</v>
      </c>
      <c r="G60" s="4" t="s">
        <v>11</v>
      </c>
      <c r="I60" s="1" t="s">
        <v>24</v>
      </c>
    </row>
    <row r="61" spans="1:9" x14ac:dyDescent="0.25">
      <c r="A61" s="27" t="s">
        <v>91</v>
      </c>
      <c r="B61" s="27" t="s">
        <v>93</v>
      </c>
      <c r="C61" s="10" t="s">
        <v>19</v>
      </c>
      <c r="D61" s="3" t="s">
        <v>24</v>
      </c>
      <c r="E61" s="1">
        <v>2026</v>
      </c>
      <c r="F61" s="1">
        <v>2027</v>
      </c>
      <c r="G61" s="4" t="s">
        <v>11</v>
      </c>
      <c r="I61" s="1" t="s">
        <v>14</v>
      </c>
    </row>
    <row r="62" spans="1:9" x14ac:dyDescent="0.25">
      <c r="A62" s="27" t="s">
        <v>94</v>
      </c>
      <c r="B62" s="27" t="s">
        <v>95</v>
      </c>
      <c r="C62" s="10" t="s">
        <v>19</v>
      </c>
      <c r="D62" s="3" t="s">
        <v>24</v>
      </c>
      <c r="E62" s="1">
        <v>2026</v>
      </c>
      <c r="F62" s="1">
        <v>2027</v>
      </c>
      <c r="G62" s="4" t="s">
        <v>11</v>
      </c>
      <c r="I62" s="1" t="s">
        <v>15</v>
      </c>
    </row>
    <row r="63" spans="1:9" x14ac:dyDescent="0.25">
      <c r="A63" s="27" t="s">
        <v>94</v>
      </c>
      <c r="B63" s="27" t="s">
        <v>96</v>
      </c>
      <c r="C63" s="10" t="s">
        <v>19</v>
      </c>
      <c r="D63" s="3" t="s">
        <v>24</v>
      </c>
      <c r="E63" s="1">
        <v>2026</v>
      </c>
      <c r="F63" s="1">
        <v>2027</v>
      </c>
      <c r="G63" s="4" t="s">
        <v>11</v>
      </c>
      <c r="I63" s="1" t="s">
        <v>20</v>
      </c>
    </row>
    <row r="64" spans="1:9" x14ac:dyDescent="0.25">
      <c r="A64" s="27" t="s">
        <v>94</v>
      </c>
      <c r="B64" s="27" t="s">
        <v>97</v>
      </c>
      <c r="C64" s="10" t="s">
        <v>19</v>
      </c>
      <c r="D64" s="3" t="s">
        <v>24</v>
      </c>
      <c r="E64" s="1">
        <v>2026</v>
      </c>
      <c r="F64" s="1">
        <v>2027</v>
      </c>
      <c r="G64" s="4" t="s">
        <v>11</v>
      </c>
      <c r="I64" s="1" t="s">
        <v>16</v>
      </c>
    </row>
    <row r="65" spans="1:9" x14ac:dyDescent="0.25">
      <c r="A65" s="27" t="s">
        <v>98</v>
      </c>
      <c r="B65" s="27" t="s">
        <v>99</v>
      </c>
      <c r="C65" s="10" t="s">
        <v>19</v>
      </c>
      <c r="D65" s="3" t="s">
        <v>24</v>
      </c>
      <c r="E65" s="1">
        <v>2026</v>
      </c>
      <c r="F65" s="1">
        <v>2027</v>
      </c>
      <c r="G65" s="4" t="s">
        <v>11</v>
      </c>
      <c r="I65" s="1" t="s">
        <v>17</v>
      </c>
    </row>
    <row r="66" spans="1:9" x14ac:dyDescent="0.25">
      <c r="A66" s="27" t="s">
        <v>100</v>
      </c>
      <c r="B66" s="27" t="s">
        <v>101</v>
      </c>
      <c r="C66" s="10" t="s">
        <v>19</v>
      </c>
      <c r="D66" s="3" t="s">
        <v>24</v>
      </c>
      <c r="E66" s="1">
        <v>2026</v>
      </c>
      <c r="F66" s="1">
        <v>2027</v>
      </c>
      <c r="G66" s="4" t="s">
        <v>11</v>
      </c>
      <c r="I66" s="1" t="s">
        <v>21</v>
      </c>
    </row>
    <row r="67" spans="1:9" x14ac:dyDescent="0.25">
      <c r="A67" s="27" t="s">
        <v>102</v>
      </c>
      <c r="B67" s="27" t="s">
        <v>103</v>
      </c>
      <c r="C67" s="10" t="s">
        <v>19</v>
      </c>
      <c r="D67" s="3" t="s">
        <v>24</v>
      </c>
      <c r="E67" s="1">
        <v>2026</v>
      </c>
      <c r="F67" s="1">
        <v>2027</v>
      </c>
      <c r="G67" s="4" t="s">
        <v>11</v>
      </c>
      <c r="I67" s="1" t="s">
        <v>22</v>
      </c>
    </row>
    <row r="68" spans="1:9" x14ac:dyDescent="0.25">
      <c r="A68" s="27" t="s">
        <v>102</v>
      </c>
      <c r="B68" s="27" t="s">
        <v>104</v>
      </c>
      <c r="C68" s="10" t="s">
        <v>19</v>
      </c>
      <c r="D68" s="3" t="s">
        <v>24</v>
      </c>
      <c r="E68" s="1">
        <v>2026</v>
      </c>
      <c r="F68" s="1">
        <v>2027</v>
      </c>
      <c r="G68" s="4" t="s">
        <v>11</v>
      </c>
      <c r="I68" s="1" t="s">
        <v>23</v>
      </c>
    </row>
    <row r="69" spans="1:9" x14ac:dyDescent="0.25">
      <c r="A69" s="27" t="s">
        <v>105</v>
      </c>
      <c r="B69" s="27" t="s">
        <v>106</v>
      </c>
      <c r="C69" s="10" t="s">
        <v>19</v>
      </c>
      <c r="D69" s="3" t="s">
        <v>24</v>
      </c>
      <c r="E69" s="1">
        <v>2026</v>
      </c>
      <c r="F69" s="1">
        <v>2027</v>
      </c>
      <c r="G69" s="4" t="s">
        <v>11</v>
      </c>
      <c r="I69" s="1" t="s">
        <v>18</v>
      </c>
    </row>
    <row r="70" spans="1:9" x14ac:dyDescent="0.25">
      <c r="A70" s="27" t="s">
        <v>107</v>
      </c>
      <c r="B70" s="27" t="s">
        <v>108</v>
      </c>
      <c r="C70" s="10" t="s">
        <v>19</v>
      </c>
      <c r="D70" s="3" t="s">
        <v>24</v>
      </c>
      <c r="E70" s="1">
        <v>2026</v>
      </c>
      <c r="F70" s="1">
        <v>2027</v>
      </c>
      <c r="G70" s="4" t="s">
        <v>11</v>
      </c>
      <c r="I70" s="1" t="s">
        <v>12</v>
      </c>
    </row>
    <row r="71" spans="1:9" x14ac:dyDescent="0.25">
      <c r="A71" s="27" t="s">
        <v>109</v>
      </c>
      <c r="B71" s="27" t="s">
        <v>110</v>
      </c>
      <c r="C71" s="10" t="s">
        <v>19</v>
      </c>
      <c r="D71" s="3" t="s">
        <v>24</v>
      </c>
      <c r="E71" s="1">
        <v>2026</v>
      </c>
      <c r="F71" s="1">
        <v>2027</v>
      </c>
      <c r="G71" s="4" t="s">
        <v>11</v>
      </c>
      <c r="I71" s="1" t="s">
        <v>13</v>
      </c>
    </row>
    <row r="72" spans="1:9" x14ac:dyDescent="0.25">
      <c r="A72" s="27" t="s">
        <v>109</v>
      </c>
      <c r="B72" s="27" t="s">
        <v>111</v>
      </c>
      <c r="C72" s="10" t="s">
        <v>19</v>
      </c>
      <c r="D72" s="3" t="s">
        <v>24</v>
      </c>
      <c r="E72" s="1">
        <v>2026</v>
      </c>
      <c r="F72" s="1">
        <v>2027</v>
      </c>
      <c r="G72" s="4" t="s">
        <v>11</v>
      </c>
      <c r="I72" s="1" t="s">
        <v>24</v>
      </c>
    </row>
    <row r="73" spans="1:9" x14ac:dyDescent="0.25">
      <c r="A73" s="27" t="s">
        <v>112</v>
      </c>
      <c r="B73" s="27" t="s">
        <v>113</v>
      </c>
      <c r="C73" s="10" t="s">
        <v>19</v>
      </c>
      <c r="D73" s="3" t="s">
        <v>24</v>
      </c>
      <c r="E73" s="1">
        <v>2026</v>
      </c>
      <c r="F73" s="1">
        <v>2027</v>
      </c>
      <c r="G73" s="4" t="s">
        <v>11</v>
      </c>
      <c r="I73" s="1" t="s">
        <v>14</v>
      </c>
    </row>
    <row r="74" spans="1:9" x14ac:dyDescent="0.25">
      <c r="A74" s="27" t="s">
        <v>112</v>
      </c>
      <c r="B74" s="27" t="s">
        <v>114</v>
      </c>
      <c r="C74" s="10" t="s">
        <v>19</v>
      </c>
      <c r="D74" s="3" t="s">
        <v>24</v>
      </c>
      <c r="E74" s="1">
        <v>2026</v>
      </c>
      <c r="F74" s="1">
        <v>2027</v>
      </c>
      <c r="G74" s="4" t="s">
        <v>11</v>
      </c>
      <c r="I74" s="1" t="s">
        <v>15</v>
      </c>
    </row>
    <row r="75" spans="1:9" x14ac:dyDescent="0.25">
      <c r="A75" s="27" t="s">
        <v>112</v>
      </c>
      <c r="B75" s="27" t="s">
        <v>115</v>
      </c>
      <c r="C75" s="10" t="s">
        <v>19</v>
      </c>
      <c r="D75" s="3" t="s">
        <v>24</v>
      </c>
      <c r="E75" s="1">
        <v>2026</v>
      </c>
      <c r="F75" s="1">
        <v>2027</v>
      </c>
      <c r="G75" s="4" t="s">
        <v>11</v>
      </c>
      <c r="I75" s="1" t="s">
        <v>20</v>
      </c>
    </row>
    <row r="76" spans="1:9" x14ac:dyDescent="0.25">
      <c r="A76" s="27" t="s">
        <v>116</v>
      </c>
      <c r="B76" s="27" t="s">
        <v>117</v>
      </c>
      <c r="C76" s="10" t="s">
        <v>19</v>
      </c>
      <c r="D76" s="3" t="s">
        <v>24</v>
      </c>
      <c r="E76" s="1">
        <v>2026</v>
      </c>
      <c r="F76" s="1">
        <v>2027</v>
      </c>
      <c r="G76" s="4" t="s">
        <v>11</v>
      </c>
      <c r="I76" s="1" t="s">
        <v>16</v>
      </c>
    </row>
    <row r="77" spans="1:9" x14ac:dyDescent="0.25">
      <c r="A77" s="27" t="s">
        <v>118</v>
      </c>
      <c r="B77" s="27" t="s">
        <v>119</v>
      </c>
      <c r="C77" s="10" t="s">
        <v>19</v>
      </c>
      <c r="D77" s="3" t="s">
        <v>24</v>
      </c>
      <c r="E77" s="1">
        <v>2026</v>
      </c>
      <c r="F77" s="1">
        <v>2027</v>
      </c>
      <c r="G77" s="4" t="s">
        <v>11</v>
      </c>
      <c r="I77" s="1" t="s">
        <v>17</v>
      </c>
    </row>
    <row r="78" spans="1:9" x14ac:dyDescent="0.25">
      <c r="A78" s="27" t="s">
        <v>120</v>
      </c>
      <c r="B78" s="27" t="s">
        <v>121</v>
      </c>
      <c r="C78" s="10" t="s">
        <v>19</v>
      </c>
      <c r="D78" s="3" t="s">
        <v>24</v>
      </c>
      <c r="E78" s="1">
        <v>2026</v>
      </c>
      <c r="F78" s="1">
        <v>2027</v>
      </c>
      <c r="G78" s="4" t="s">
        <v>11</v>
      </c>
      <c r="I78" s="1" t="s">
        <v>21</v>
      </c>
    </row>
    <row r="79" spans="1:9" x14ac:dyDescent="0.25">
      <c r="A79" s="27" t="s">
        <v>122</v>
      </c>
      <c r="B79" s="27" t="s">
        <v>123</v>
      </c>
      <c r="C79" s="10" t="s">
        <v>19</v>
      </c>
      <c r="D79" s="3" t="s">
        <v>24</v>
      </c>
      <c r="E79" s="1">
        <v>2026</v>
      </c>
      <c r="F79" s="1">
        <v>2027</v>
      </c>
      <c r="G79" s="4" t="s">
        <v>11</v>
      </c>
      <c r="I79" s="1" t="s">
        <v>22</v>
      </c>
    </row>
    <row r="80" spans="1:9" x14ac:dyDescent="0.25">
      <c r="A80" s="27" t="s">
        <v>124</v>
      </c>
      <c r="B80" s="27" t="s">
        <v>125</v>
      </c>
      <c r="C80" s="10" t="s">
        <v>19</v>
      </c>
      <c r="D80" s="3" t="s">
        <v>24</v>
      </c>
      <c r="E80" s="1">
        <v>2026</v>
      </c>
      <c r="F80" s="1">
        <v>2027</v>
      </c>
      <c r="G80" s="4" t="s">
        <v>11</v>
      </c>
      <c r="I80" s="1" t="s">
        <v>23</v>
      </c>
    </row>
    <row r="81" spans="1:9" ht="30" x14ac:dyDescent="0.25">
      <c r="A81" s="27" t="s">
        <v>126</v>
      </c>
      <c r="B81" s="27">
        <v>2466</v>
      </c>
      <c r="C81" s="10" t="s">
        <v>19</v>
      </c>
      <c r="D81" s="3" t="s">
        <v>24</v>
      </c>
      <c r="E81" s="1">
        <v>2026</v>
      </c>
      <c r="F81" s="1">
        <v>2027</v>
      </c>
      <c r="G81" s="4" t="s">
        <v>11</v>
      </c>
      <c r="I81" s="1" t="s">
        <v>18</v>
      </c>
    </row>
    <row r="82" spans="1:9" x14ac:dyDescent="0.25">
      <c r="A82" s="27" t="s">
        <v>127</v>
      </c>
      <c r="B82" s="27">
        <v>1229</v>
      </c>
      <c r="C82" s="10" t="s">
        <v>19</v>
      </c>
      <c r="D82" s="3" t="s">
        <v>24</v>
      </c>
      <c r="E82" s="1">
        <v>2026</v>
      </c>
      <c r="F82" s="1">
        <v>2027</v>
      </c>
      <c r="G82" s="4" t="s">
        <v>11</v>
      </c>
      <c r="I82" s="1" t="s">
        <v>12</v>
      </c>
    </row>
    <row r="83" spans="1:9" x14ac:dyDescent="0.25">
      <c r="A83" s="27" t="s">
        <v>127</v>
      </c>
      <c r="B83" s="27">
        <v>1230</v>
      </c>
      <c r="C83" s="10" t="s">
        <v>19</v>
      </c>
      <c r="D83" s="3" t="s">
        <v>24</v>
      </c>
      <c r="E83" s="1">
        <v>2026</v>
      </c>
      <c r="F83" s="1">
        <v>2027</v>
      </c>
      <c r="G83" s="4" t="s">
        <v>11</v>
      </c>
      <c r="I83" s="1" t="s">
        <v>13</v>
      </c>
    </row>
    <row r="84" spans="1:9" x14ac:dyDescent="0.25">
      <c r="A84" s="27" t="s">
        <v>128</v>
      </c>
      <c r="B84" s="27">
        <v>5864</v>
      </c>
      <c r="C84" s="10" t="s">
        <v>19</v>
      </c>
      <c r="D84" s="3" t="s">
        <v>24</v>
      </c>
      <c r="E84" s="1">
        <v>2026</v>
      </c>
      <c r="F84" s="1">
        <v>2027</v>
      </c>
      <c r="G84" s="4" t="s">
        <v>11</v>
      </c>
      <c r="I84" s="1" t="s">
        <v>24</v>
      </c>
    </row>
    <row r="85" spans="1:9" x14ac:dyDescent="0.25">
      <c r="A85" s="27" t="s">
        <v>128</v>
      </c>
      <c r="B85" s="27">
        <v>5865</v>
      </c>
      <c r="C85" s="10" t="s">
        <v>19</v>
      </c>
      <c r="D85" s="3" t="s">
        <v>24</v>
      </c>
      <c r="E85" s="1">
        <v>2026</v>
      </c>
      <c r="F85" s="1">
        <v>2027</v>
      </c>
      <c r="G85" s="4" t="s">
        <v>11</v>
      </c>
      <c r="I85" s="1" t="s">
        <v>14</v>
      </c>
    </row>
    <row r="86" spans="1:9" x14ac:dyDescent="0.25">
      <c r="A86" s="27" t="s">
        <v>128</v>
      </c>
      <c r="B86" s="27">
        <v>5867</v>
      </c>
      <c r="C86" s="10" t="s">
        <v>19</v>
      </c>
      <c r="D86" s="3" t="s">
        <v>24</v>
      </c>
      <c r="E86" s="1">
        <v>2026</v>
      </c>
      <c r="F86" s="1">
        <v>2027</v>
      </c>
      <c r="G86" s="4" t="s">
        <v>11</v>
      </c>
      <c r="I86" s="1" t="s">
        <v>15</v>
      </c>
    </row>
    <row r="87" spans="1:9" x14ac:dyDescent="0.25">
      <c r="A87" s="27" t="s">
        <v>128</v>
      </c>
      <c r="B87" s="27">
        <v>5868</v>
      </c>
      <c r="C87" s="10" t="s">
        <v>19</v>
      </c>
      <c r="D87" s="3" t="s">
        <v>24</v>
      </c>
      <c r="E87" s="1">
        <v>2026</v>
      </c>
      <c r="F87" s="1">
        <v>2027</v>
      </c>
      <c r="G87" s="4" t="s">
        <v>11</v>
      </c>
      <c r="I87" s="1" t="s">
        <v>20</v>
      </c>
    </row>
    <row r="88" spans="1:9" x14ac:dyDescent="0.25">
      <c r="A88" s="27" t="s">
        <v>129</v>
      </c>
      <c r="B88" s="27">
        <v>3787</v>
      </c>
      <c r="C88" s="10" t="s">
        <v>19</v>
      </c>
      <c r="D88" s="3" t="s">
        <v>24</v>
      </c>
      <c r="E88" s="1">
        <v>2026</v>
      </c>
      <c r="F88" s="1">
        <v>2027</v>
      </c>
      <c r="G88" s="4" t="s">
        <v>11</v>
      </c>
      <c r="I88" s="1" t="s">
        <v>16</v>
      </c>
    </row>
    <row r="89" spans="1:9" x14ac:dyDescent="0.25">
      <c r="A89" s="27" t="s">
        <v>129</v>
      </c>
      <c r="B89" s="27">
        <v>3788</v>
      </c>
      <c r="C89" s="10" t="s">
        <v>19</v>
      </c>
      <c r="D89" s="3" t="s">
        <v>24</v>
      </c>
      <c r="E89" s="1">
        <v>2026</v>
      </c>
      <c r="F89" s="1">
        <v>2027</v>
      </c>
      <c r="G89" s="4" t="s">
        <v>11</v>
      </c>
      <c r="I89" s="1" t="s">
        <v>17</v>
      </c>
    </row>
    <row r="90" spans="1:9" x14ac:dyDescent="0.25">
      <c r="A90" s="27" t="s">
        <v>130</v>
      </c>
      <c r="B90" s="27">
        <v>3754</v>
      </c>
      <c r="C90" s="10" t="s">
        <v>19</v>
      </c>
      <c r="D90" s="3" t="s">
        <v>24</v>
      </c>
      <c r="E90" s="1">
        <v>2026</v>
      </c>
      <c r="F90" s="1">
        <v>2027</v>
      </c>
      <c r="G90" s="4" t="s">
        <v>11</v>
      </c>
      <c r="I90" s="1" t="s">
        <v>21</v>
      </c>
    </row>
    <row r="91" spans="1:9" x14ac:dyDescent="0.25">
      <c r="A91" s="27" t="s">
        <v>131</v>
      </c>
      <c r="B91" s="27">
        <v>3753</v>
      </c>
      <c r="C91" s="10" t="s">
        <v>19</v>
      </c>
      <c r="D91" s="3" t="s">
        <v>24</v>
      </c>
      <c r="E91" s="1">
        <v>2026</v>
      </c>
      <c r="F91" s="1">
        <v>2027</v>
      </c>
      <c r="G91" s="4" t="s">
        <v>11</v>
      </c>
      <c r="I91" s="1" t="s">
        <v>22</v>
      </c>
    </row>
    <row r="92" spans="1:9" x14ac:dyDescent="0.25">
      <c r="A92" s="27" t="s">
        <v>132</v>
      </c>
      <c r="B92" s="27">
        <v>3789</v>
      </c>
      <c r="C92" s="10" t="s">
        <v>19</v>
      </c>
      <c r="D92" s="3" t="s">
        <v>24</v>
      </c>
      <c r="E92" s="1">
        <v>2026</v>
      </c>
      <c r="F92" s="1">
        <v>2027</v>
      </c>
      <c r="G92" s="4" t="s">
        <v>11</v>
      </c>
      <c r="I92" s="1" t="s">
        <v>23</v>
      </c>
    </row>
    <row r="93" spans="1:9" ht="30" x14ac:dyDescent="0.25">
      <c r="A93" s="27" t="s">
        <v>133</v>
      </c>
      <c r="B93" s="27">
        <v>19982</v>
      </c>
      <c r="C93" s="10" t="s">
        <v>19</v>
      </c>
      <c r="D93" s="3" t="s">
        <v>24</v>
      </c>
      <c r="E93" s="1">
        <v>2026</v>
      </c>
      <c r="F93" s="1">
        <v>2027</v>
      </c>
      <c r="G93" s="4" t="s">
        <v>11</v>
      </c>
      <c r="I93" s="1" t="s">
        <v>18</v>
      </c>
    </row>
    <row r="94" spans="1:9" ht="30" x14ac:dyDescent="0.25">
      <c r="A94" s="27" t="s">
        <v>133</v>
      </c>
      <c r="B94" s="27">
        <v>19983</v>
      </c>
      <c r="C94" s="10" t="s">
        <v>19</v>
      </c>
      <c r="D94" s="3" t="s">
        <v>24</v>
      </c>
      <c r="E94" s="1">
        <v>2026</v>
      </c>
      <c r="F94" s="1">
        <v>2027</v>
      </c>
      <c r="G94" s="4" t="s">
        <v>11</v>
      </c>
      <c r="I94" s="1" t="s">
        <v>12</v>
      </c>
    </row>
    <row r="95" spans="1:9" ht="30" x14ac:dyDescent="0.25">
      <c r="A95" s="27" t="s">
        <v>133</v>
      </c>
      <c r="B95" s="27">
        <v>19984</v>
      </c>
      <c r="C95" s="10" t="s">
        <v>19</v>
      </c>
      <c r="D95" s="3" t="s">
        <v>24</v>
      </c>
      <c r="E95" s="1">
        <v>2026</v>
      </c>
      <c r="F95" s="1">
        <v>2027</v>
      </c>
      <c r="G95" s="4" t="s">
        <v>11</v>
      </c>
      <c r="I95" s="1" t="s">
        <v>13</v>
      </c>
    </row>
    <row r="96" spans="1:9" ht="30" x14ac:dyDescent="0.25">
      <c r="A96" s="27" t="s">
        <v>133</v>
      </c>
      <c r="B96" s="27">
        <v>19985</v>
      </c>
      <c r="C96" s="10" t="s">
        <v>19</v>
      </c>
      <c r="D96" s="3" t="s">
        <v>24</v>
      </c>
      <c r="E96" s="1">
        <v>2026</v>
      </c>
      <c r="F96" s="1">
        <v>2027</v>
      </c>
      <c r="G96" s="4" t="s">
        <v>11</v>
      </c>
      <c r="I96" s="1" t="s">
        <v>24</v>
      </c>
    </row>
    <row r="97" spans="1:9" ht="30" x14ac:dyDescent="0.25">
      <c r="A97" s="27" t="s">
        <v>133</v>
      </c>
      <c r="B97" s="27">
        <v>19986</v>
      </c>
      <c r="C97" s="10" t="s">
        <v>19</v>
      </c>
      <c r="D97" s="3" t="s">
        <v>24</v>
      </c>
      <c r="E97" s="1">
        <v>2026</v>
      </c>
      <c r="F97" s="1">
        <v>2027</v>
      </c>
      <c r="G97" s="4" t="s">
        <v>11</v>
      </c>
      <c r="I97" s="1" t="s">
        <v>14</v>
      </c>
    </row>
  </sheetData>
  <pageMargins left="0.7" right="0.7" top="0.75" bottom="0.75" header="0.511811023622047" footer="0.511811023622047"/>
  <pageSetup paperSize="9"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4"/>
  <sheetViews>
    <sheetView zoomScaleNormal="100" workbookViewId="0">
      <selection activeCell="C7" sqref="C7"/>
    </sheetView>
  </sheetViews>
  <sheetFormatPr defaultColWidth="8.140625" defaultRowHeight="15" x14ac:dyDescent="0.25"/>
  <cols>
    <col min="1" max="1" width="34.28515625" style="1" customWidth="1"/>
    <col min="2" max="2" width="2.85546875" style="1" customWidth="1"/>
    <col min="3" max="3" width="34.140625" style="1" customWidth="1"/>
    <col min="4" max="4" width="2" style="1" customWidth="1"/>
    <col min="5" max="5" width="33.42578125" style="1" customWidth="1"/>
  </cols>
  <sheetData>
    <row r="1" spans="1:8" s="1" customFormat="1" ht="21.75" customHeight="1" x14ac:dyDescent="0.25">
      <c r="A1" s="6" t="str">
        <f ca="1">"Наименование: " &amp; INDIRECT(ADDRESS(INT(ROUNDUP(((ROW())/6), 1)) + 2, 1, 1, 1, "Исходная информация"))</f>
        <v xml:space="preserve">Наименование: Облучатель-рециркулятор воздуха ультрафиолетовый бактерицидный настенный ОРУБн-3-5-«КРОНТ» (Дезар-5) </v>
      </c>
      <c r="B1" s="7"/>
      <c r="C1" s="8" t="str">
        <f ca="1">"Наименование: " &amp; INDIRECT(ADDRESS(INT(ROUNDUP(((ROW())/6), 1)) + (2+'Исходная информация'!$N$2), 1, 1, 1, "Исходная информация"))</f>
        <v>Наименование: комплекс видеоэндоскопический HD</v>
      </c>
      <c r="D1" s="7"/>
      <c r="E1" s="9" t="str">
        <f ca="1">"Наименование: " &amp; INDIRECT(ADDRESS(INT(ROUNDUP(((ROW())/6), 1)) + (2+'Исходная информация'!$N$3), 1, 1, 1, "Исходная информация"))</f>
        <v xml:space="preserve">Наименование: Облучатель-рециркулятор воздуха ультрафиолетовый бактерицидный настенный ОРУБн-3-5-«КРОНТ» (Дезар-5) </v>
      </c>
      <c r="F1" s="10"/>
      <c r="G1" s="10"/>
      <c r="H1" s="10"/>
    </row>
    <row r="2" spans="1:8" ht="15" customHeight="1" x14ac:dyDescent="0.25">
      <c r="A2" s="11" t="str">
        <f ca="1">"Инв. №: " &amp; INDIRECT(ADDRESS(INT(ROUNDUP(((ROW())/6), 1)) + 2, 2, 1, 1, "Исходная информация"))</f>
        <v>Инв. №: 21647</v>
      </c>
      <c r="B2" s="7"/>
      <c r="C2" s="12" t="str">
        <f ca="1">"Инв. №: " &amp; INDIRECT(ADDRESS(INT(ROUNDUP(((ROW())/6), 1)) + (2+'Исходная информация'!$N$2), 2, 1, 1, "Исходная информация"))</f>
        <v>Инв. №: 000410124.04.80191720</v>
      </c>
      <c r="D2" s="7"/>
      <c r="E2" s="13" t="str">
        <f ca="1">"Инв. №: " &amp; INDIRECT(ADDRESS(INT(ROUNDUP(((ROW())/6), 1)) + (2+'Исходная информация'!$N$3), 2, 1, 1, "Исходная информация"))</f>
        <v>Инв. №: 21647</v>
      </c>
      <c r="F2" s="10"/>
      <c r="G2" s="10"/>
      <c r="H2" s="10"/>
    </row>
    <row r="3" spans="1:8" ht="15" customHeight="1" x14ac:dyDescent="0.25">
      <c r="A3" s="11" t="str">
        <f ca="1">"Периодичность ТО: " &amp; INDIRECT(ADDRESS(INT(ROUNDUP(((ROW())/6), 1)) + 2, 3, 1, 1, "Исходная информация"))</f>
        <v>Периодичность ТО: 12 мес</v>
      </c>
      <c r="B3" s="7"/>
      <c r="C3" s="12" t="str">
        <f ca="1">"Периодичность ТО: " &amp; INDIRECT(ADDRESS(INT(ROUNDUP(((ROW())/6), 1)) + (2+'Исходная информация'!$N$2), 3, 1, 1, "Исходная информация"))</f>
        <v>Периодичность ТО: 12 мес</v>
      </c>
      <c r="D3" s="7"/>
      <c r="E3" s="13" t="str">
        <f ca="1">"Периодичность ТО: " &amp; INDIRECT(ADDRESS(INT(ROUNDUP(((ROW())/6), 1)) + (2+'Исходная информация'!$N$3), 3, 1, 1, "Исходная информация"))</f>
        <v>Периодичность ТО: 12 мес</v>
      </c>
      <c r="F3" s="10"/>
      <c r="G3" s="10"/>
      <c r="H3" s="10"/>
    </row>
    <row r="4" spans="1:8" ht="15" customHeight="1" x14ac:dyDescent="0.25">
      <c r="A4" s="11" t="str">
        <f ca="1">"Проведено ТО: " &amp; INDIRECT(ADDRESS(INT(ROUNDUP(((ROW())/6), 1)) + 2, 4, 1, 1, "Исходная информация")) &amp; " " &amp; INDIRECT(ADDRESS(INT(ROUNDUP(((ROW())/6), 1)) + 2, 5, 1, 1, "Исходная информация")) &amp; " г."</f>
        <v>Проведено ТО: Июль 2026 г.</v>
      </c>
      <c r="B4" s="7"/>
      <c r="C4" s="12" t="str">
        <f ca="1">"Проведено ТО: " &amp; INDIRECT(ADDRESS(INT(ROUNDUP(((ROW())/6), 1)) + (2+'Исходная информация'!$N$2), 4, 1, 1, "Исходная информация")) &amp; " " &amp; INDIRECT(ADDRESS(INT(ROUNDUP(((ROW())/6), 1)) + (2+'Исходная информация'!$N$2), 5, 1, 1, "Исходная информация")) &amp; " г."</f>
        <v>Проведено ТО: Июль 2026 г.</v>
      </c>
      <c r="D4" s="7"/>
      <c r="E4" s="13" t="str">
        <f ca="1">"Проведено ТО: " &amp; INDIRECT(ADDRESS(INT(ROUNDUP(((ROW())/6), 1)) + (2+'Исходная информация'!$N$3), 4, 1, 1, "Исходная информация")) &amp; " " &amp; INDIRECT(ADDRESS(INT(ROUNDUP(((ROW())/6), 1)) + (2+'Исходная информация'!$N$3), 5, 1, 1, "Исходная информация")) &amp; " г."</f>
        <v>Проведено ТО: Июль 2026 г.</v>
      </c>
      <c r="F4" s="10"/>
      <c r="G4" s="10"/>
      <c r="H4" s="10"/>
    </row>
    <row r="5" spans="1:8" ht="15" customHeight="1" x14ac:dyDescent="0.25">
      <c r="A5" s="11" t="str">
        <f ca="1">"Следующее ТО: " &amp; INDIRECT(ADDRESS(INT(ROUNDUP(((ROW())/6), 1)) + 2, 9, 1, 1, "Исходная информация")) &amp; " " &amp; INDIRECT(ADDRESS(INT(ROUNDUP(((ROW())/6), 1)) + 2, 6, 1, 1, "Исходная информация")) &amp; " г."</f>
        <v>Следующее ТО: Сентябрь 2027 г.</v>
      </c>
      <c r="B5" s="7"/>
      <c r="C5" s="12" t="str">
        <f ca="1">"Следующее ТО: " &amp; INDIRECT(ADDRESS(INT(ROUNDUP(((ROW())/6), 1)) + (2+'Исходная информация'!$N$2), 9, 1, 1, "Исходная информация")) &amp; " " &amp; INDIRECT(ADDRESS(INT(ROUNDUP(((ROW())/6), 1)) + (2+'Исходная информация'!$N$2), 6, 1, 1, "Исходная информация")) &amp; " г."</f>
        <v>Следующее ТО: Май 2027 г.</v>
      </c>
      <c r="D5" s="7"/>
      <c r="E5" s="13" t="str">
        <f ca="1">"Следующее ТО: " &amp; INDIRECT(ADDRESS(INT(ROUNDUP(((ROW())/6), 1)) + (2+'Исходная информация'!$N$3), 9, 1, 1, "Исходная информация")) &amp; " " &amp; INDIRECT(ADDRESS(INT(ROUNDUP(((ROW())/6), 1)) + (2+'Исходная информация'!$N$3), 6, 1, 1, "Исходная информация")) &amp; " г."</f>
        <v>Следующее ТО: Сентябрь 2027 г.</v>
      </c>
      <c r="F5" s="10"/>
      <c r="G5" s="10"/>
      <c r="H5" s="10"/>
    </row>
    <row r="6" spans="1:8" s="19" customFormat="1" ht="25.5" customHeight="1" x14ac:dyDescent="0.25">
      <c r="A6" s="14" t="str">
        <f ca="1">"Инженер ОЭиРМО: " &amp; INDIRECT(ADDRESS(INT(ROUNDUP(((ROW())/6), 1)) + 2, 7, 1, 1, "Исходная информация"))</f>
        <v>Инженер ОЭиРМО: Данилова К.И.</v>
      </c>
      <c r="B6" s="15"/>
      <c r="C6" s="16" t="str">
        <f ca="1">"Инженер ОЭиРМО: " &amp; INDIRECT(ADDRESS(INT(ROUNDUP(((ROW())/6), 1)) + (2+'Исходная информация'!$N$2), 7, 1, 1, "Исходная информация"))</f>
        <v>Инженер ОЭиРМО: Данилова К.И.</v>
      </c>
      <c r="D6" s="15"/>
      <c r="E6" s="17" t="str">
        <f ca="1">"Инженер ОЭиРМО: " &amp; INDIRECT(ADDRESS(INT(ROUNDUP(((ROW())/6), 1)) + (2+'Исходная информация'!$N$3), 7, 1, 1, "Исходная информация"))</f>
        <v>Инженер ОЭиРМО: Данилова К.И.</v>
      </c>
      <c r="F6" s="18"/>
      <c r="G6" s="18"/>
      <c r="H6" s="18"/>
    </row>
    <row r="7" spans="1:8" s="1" customFormat="1" ht="30.75" customHeight="1" x14ac:dyDescent="0.25">
      <c r="A7" s="6" t="str">
        <f ca="1">"Наименование: " &amp; INDIRECT(ADDRESS(INT(ROUNDUP(((ROW())/6), 1)) + 2, 1, 1, 1, "Исходная информация"))</f>
        <v xml:space="preserve">Наименование: Облучатель-рециркулятор воздуха ультрафиолетовый бактерицидный настенный ОРУБн-3-5-«КРОНТ» (Дезар-5) </v>
      </c>
      <c r="B7" s="7"/>
      <c r="C7" s="8" t="str">
        <f ca="1">"Наименование: " &amp; INDIRECT(ADDRESS(INT(ROUNDUP(((ROW())/6), 1)) + (2+'Исходная информация'!$N$2), 1, 1, 1, "Исходная информация"))</f>
        <v>Наименование: комплекс видеоэндоскопический Endomat</v>
      </c>
      <c r="D7" s="7"/>
      <c r="E7" s="9" t="str">
        <f ca="1">"Наименование: " &amp; INDIRECT(ADDRESS(INT(ROUNDUP(((ROW())/6), 1)) + (2+'Исходная информация'!$N$3), 1, 1, 1, "Исходная информация"))</f>
        <v xml:space="preserve">Наименование: Облучатель-рециркулятор воздуха ультрафиолетовый бактерицидный настенный ОРУБн-3-5-«КРОНТ» (Дезар-5) </v>
      </c>
      <c r="F7" s="10"/>
      <c r="G7" s="10"/>
      <c r="H7" s="10"/>
    </row>
    <row r="8" spans="1:8" ht="13.5" customHeight="1" x14ac:dyDescent="0.25">
      <c r="A8" s="11" t="str">
        <f ca="1">"Инв. №: " &amp; INDIRECT(ADDRESS(INT(ROUNDUP(((ROW())/6), 1)) + 2, 2, 1, 1, "Исходная информация"))</f>
        <v>Инв. №: 21648</v>
      </c>
      <c r="B8" s="7"/>
      <c r="C8" s="12" t="str">
        <f ca="1">"Инв. №: " &amp; INDIRECT(ADDRESS(INT(ROUNDUP(((ROW())/6), 1)) + (2+'Исходная информация'!$N$2), 2, 1, 1, "Исходная информация"))</f>
        <v>Инв. №: 000410124.04.80191791</v>
      </c>
      <c r="D8" s="7"/>
      <c r="E8" s="13" t="str">
        <f ca="1">"Инв. №: " &amp; INDIRECT(ADDRESS(INT(ROUNDUP(((ROW())/6), 1)) + (2+'Исходная информация'!$N$3), 2, 1, 1, "Исходная информация"))</f>
        <v>Инв. №: 21648</v>
      </c>
      <c r="F8" s="10"/>
      <c r="G8" s="10"/>
      <c r="H8" s="10"/>
    </row>
    <row r="9" spans="1:8" ht="13.5" customHeight="1" x14ac:dyDescent="0.25">
      <c r="A9" s="11" t="str">
        <f ca="1">"Периодичность ТО: " &amp; INDIRECT(ADDRESS(INT(ROUNDUP(((ROW())/6), 1)) + 2, 3, 1, 1, "Исходная информация"))</f>
        <v>Периодичность ТО: 12 мес</v>
      </c>
      <c r="B9" s="7"/>
      <c r="C9" s="12" t="str">
        <f ca="1">"Периодичность ТО: " &amp; INDIRECT(ADDRESS(INT(ROUNDUP(((ROW())/6), 1)) + (2+'Исходная информация'!$N$2), 3, 1, 1, "Исходная информация"))</f>
        <v>Периодичность ТО: 12 мес</v>
      </c>
      <c r="D9" s="7"/>
      <c r="E9" s="13" t="str">
        <f ca="1">"Периодичность ТО: " &amp; INDIRECT(ADDRESS(INT(ROUNDUP(((ROW())/6), 1)) + (2+'Исходная информация'!$N$3), 3, 1, 1, "Исходная информация"))</f>
        <v>Периодичность ТО: 12 мес</v>
      </c>
      <c r="F9" s="10"/>
      <c r="G9" s="10"/>
      <c r="H9" s="10"/>
    </row>
    <row r="10" spans="1:8" ht="13.5" customHeight="1" x14ac:dyDescent="0.25">
      <c r="A10" s="11" t="str">
        <f ca="1">"Проведено ТО: " &amp; INDIRECT(ADDRESS(INT(ROUNDUP(((ROW())/6), 1)) + 2, 4, 1, 1, "Исходная информация")) &amp; " " &amp; INDIRECT(ADDRESS(INT(ROUNDUP(((ROW())/6), 1)) + 2, 5, 1, 1, "Исходная информация")) &amp; " г."</f>
        <v>Проведено ТО: Июль 2026 г.</v>
      </c>
      <c r="B10" s="7"/>
      <c r="C10" s="12" t="str">
        <f ca="1">"Проведено ТО: " &amp; INDIRECT(ADDRESS(INT(ROUNDUP(((ROW())/6), 1)) + (2+'Исходная информация'!$N$2), 4, 1, 1, "Исходная информация")) &amp; " " &amp; INDIRECT(ADDRESS(INT(ROUNDUP(((ROW())/6), 1)) + (2+'Исходная информация'!$N$2), 5, 1, 1, "Исходная информация")) &amp; " г."</f>
        <v>Проведено ТО: Июль 2026 г.</v>
      </c>
      <c r="D10" s="7"/>
      <c r="E10" s="13" t="str">
        <f ca="1">"Проведено ТО: " &amp; INDIRECT(ADDRESS(INT(ROUNDUP(((ROW())/6), 1)) + (2+'Исходная информация'!$N$3), 4, 1, 1, "Исходная информация")) &amp; " " &amp; INDIRECT(ADDRESS(INT(ROUNDUP(((ROW())/6), 1)) + (2+'Исходная информация'!$N$3), 5, 1, 1, "Исходная информация")) &amp; " г."</f>
        <v>Проведено ТО: Июль 2026 г.</v>
      </c>
      <c r="F10" s="10"/>
      <c r="G10" s="10"/>
      <c r="H10" s="10"/>
    </row>
    <row r="11" spans="1:8" ht="13.5" customHeight="1" x14ac:dyDescent="0.25">
      <c r="A11" s="11" t="str">
        <f ca="1">"Следующее ТО: " &amp; INDIRECT(ADDRESS(INT(ROUNDUP(((ROW())/6), 1)) + 2, 9, 1, 1, "Исходная информация")) &amp; " " &amp; INDIRECT(ADDRESS(INT(ROUNDUP(((ROW())/6), 1)) + 2, 6, 1, 1, "Исходная информация")) &amp; " г."</f>
        <v>Следующее ТО: Октябрь 2027 г.</v>
      </c>
      <c r="B11" s="7"/>
      <c r="C11" s="12" t="str">
        <f ca="1">"Следующее ТО: " &amp; INDIRECT(ADDRESS(INT(ROUNDUP(((ROW())/6), 1)) + (2+'Исходная информация'!$N$2), 9, 1, 1, "Исходная информация")) &amp; " " &amp; INDIRECT(ADDRESS(INT(ROUNDUP(((ROW())/6), 1)) + (2+'Исходная информация'!$N$2), 6, 1, 1, "Исходная информация")) &amp; " г."</f>
        <v>Следующее ТО: Июнь 2027 г.</v>
      </c>
      <c r="D11" s="7"/>
      <c r="E11" s="13" t="str">
        <f ca="1">"Следующее ТО: " &amp; INDIRECT(ADDRESS(INT(ROUNDUP(((ROW())/6), 1)) + (2+'Исходная информация'!$N$3), 9, 1, 1, "Исходная информация")) &amp; " " &amp; INDIRECT(ADDRESS(INT(ROUNDUP(((ROW())/6), 1)) + (2+'Исходная информация'!$N$3), 6, 1, 1, "Исходная информация")) &amp; " г."</f>
        <v>Следующее ТО: Октябрь 2027 г.</v>
      </c>
      <c r="F11" s="10"/>
      <c r="G11" s="10"/>
      <c r="H11" s="10"/>
    </row>
    <row r="12" spans="1:8" s="19" customFormat="1" ht="15.75" customHeight="1" x14ac:dyDescent="0.25">
      <c r="A12" s="14" t="str">
        <f ca="1">"Инженер ОЭиРМО: " &amp; INDIRECT(ADDRESS(INT(ROUNDUP(((ROW())/6), 1)) + 2, 7, 1, 1, "Исходная информация"))</f>
        <v>Инженер ОЭиРМО: Данилова К.И.</v>
      </c>
      <c r="B12" s="15"/>
      <c r="C12" s="16" t="str">
        <f ca="1">"Инженер ОЭиРМО: " &amp; INDIRECT(ADDRESS(INT(ROUNDUP(((ROW())/6), 1)) + (2+'Исходная информация'!$N$2), 7, 1, 1, "Исходная информация"))</f>
        <v>Инженер ОЭиРМО: Данилова К.И.</v>
      </c>
      <c r="D12" s="15"/>
      <c r="E12" s="17" t="str">
        <f ca="1">"Инженер ОЭиРМО: " &amp; INDIRECT(ADDRESS(INT(ROUNDUP(((ROW())/6), 1)) + (2+'Исходная информация'!$N$3), 7, 1, 1, "Исходная информация"))</f>
        <v>Инженер ОЭиРМО: Данилова К.И.</v>
      </c>
      <c r="F12" s="18"/>
      <c r="G12" s="18"/>
      <c r="H12" s="18"/>
    </row>
    <row r="13" spans="1:8" ht="38.25" customHeight="1" x14ac:dyDescent="0.25">
      <c r="A13" s="6" t="str">
        <f ca="1">"Наименование: " &amp; INDIRECT(ADDRESS(INT(ROUNDUP(((ROW())/6), 1)) + 2, 1, 1, 1, "Исходная информация"))</f>
        <v xml:space="preserve">Наименование: Облучатель-рециркулятор воздуха ультрафиолетовый бактерицидный настенный ОРУБн-3-5-«КРОНТ» (Дезар-5) </v>
      </c>
      <c r="B13" s="7"/>
      <c r="C13" s="8" t="str">
        <f ca="1">"Наименование: " &amp; INDIRECT(ADDRESS(INT(ROUNDUP(((ROW())/6), 1)) + (2+'Исходная информация'!$N$2), 1, 1, 1, "Исходная информация"))</f>
        <v>Наименование: лупа хирургическая модель с расширенным полем в комплекте с осветителем</v>
      </c>
      <c r="D13" s="20"/>
      <c r="E13" s="9" t="str">
        <f ca="1">"Наименование: " &amp; INDIRECT(ADDRESS(INT(ROUNDUP(((ROW())/6), 1)) + (2+'Исходная информация'!$N$3), 1, 1, 1, "Исходная информация"))</f>
        <v xml:space="preserve">Наименование: Облучатель-рециркулятор воздуха ультрафиолетовый бактерицидный настенный ОРУБн-3-5-«КРОНТ» (Дезар-5) </v>
      </c>
      <c r="F13" s="10"/>
      <c r="G13" s="10"/>
      <c r="H13" s="10"/>
    </row>
    <row r="14" spans="1:8" ht="13.5" customHeight="1" x14ac:dyDescent="0.25">
      <c r="A14" s="11" t="str">
        <f ca="1">"Инв. №: " &amp; INDIRECT(ADDRESS(INT(ROUNDUP(((ROW())/6), 1)) + 2, 2, 1, 1, "Исходная информация"))</f>
        <v>Инв. №: 21649</v>
      </c>
      <c r="B14" s="7"/>
      <c r="C14" s="12" t="str">
        <f ca="1">"Инв. №: " &amp; INDIRECT(ADDRESS(INT(ROUNDUP(((ROW())/6), 1)) + (2+'Исходная информация'!$N$2), 2, 1, 1, "Исходная информация"))</f>
        <v>Инв. №: 000410124.04.80191300</v>
      </c>
      <c r="D14" s="20"/>
      <c r="E14" s="13" t="str">
        <f ca="1">"Инв. №: " &amp; INDIRECT(ADDRESS(INT(ROUNDUP(((ROW())/6), 1)) + (2+'Исходная информация'!$N$3), 2, 1, 1, "Исходная информация"))</f>
        <v>Инв. №: 21649</v>
      </c>
      <c r="F14" s="10"/>
      <c r="G14" s="10"/>
      <c r="H14" s="10"/>
    </row>
    <row r="15" spans="1:8" ht="13.5" customHeight="1" x14ac:dyDescent="0.25">
      <c r="A15" s="11" t="str">
        <f ca="1">"Периодичность ТО: " &amp; INDIRECT(ADDRESS(INT(ROUNDUP(((ROW())/6), 1)) + 2, 3, 1, 1, "Исходная информация"))</f>
        <v>Периодичность ТО: 12 мес</v>
      </c>
      <c r="B15" s="7"/>
      <c r="C15" s="12" t="str">
        <f ca="1">"Периодичность ТО: " &amp; INDIRECT(ADDRESS(INT(ROUNDUP(((ROW())/6), 1)) + (2+'Исходная информация'!$N$2), 3, 1, 1, "Исходная информация"))</f>
        <v>Периодичность ТО: 12 мес</v>
      </c>
      <c r="D15" s="20"/>
      <c r="E15" s="13" t="str">
        <f ca="1">"Периодичность ТО: " &amp; INDIRECT(ADDRESS(INT(ROUNDUP(((ROW())/6), 1)) + (2+'Исходная информация'!$N$3), 3, 1, 1, "Исходная информация"))</f>
        <v>Периодичность ТО: 12 мес</v>
      </c>
      <c r="F15" s="10"/>
      <c r="G15" s="10"/>
      <c r="H15" s="10"/>
    </row>
    <row r="16" spans="1:8" ht="13.5" customHeight="1" x14ac:dyDescent="0.25">
      <c r="A16" s="11" t="str">
        <f ca="1">"Проведено ТО: " &amp; INDIRECT(ADDRESS(INT(ROUNDUP(((ROW())/6), 1)) + 2, 4, 1, 1, "Исходная информация")) &amp; " " &amp; INDIRECT(ADDRESS(INT(ROUNDUP(((ROW())/6), 1)) + 2, 5, 1, 1, "Исходная информация")) &amp; " г."</f>
        <v>Проведено ТО: Июль 2026 г.</v>
      </c>
      <c r="B16" s="7"/>
      <c r="C16" s="12" t="str">
        <f ca="1">"Проведено ТО: " &amp; INDIRECT(ADDRESS(INT(ROUNDUP(((ROW())/6), 1)) + (2+'Исходная информация'!$N$2), 4, 1, 1, "Исходная информация")) &amp; " " &amp; INDIRECT(ADDRESS(INT(ROUNDUP(((ROW())/6), 1)) + (2+'Исходная информация'!$N$2), 5, 1, 1, "Исходная информация")) &amp; " г."</f>
        <v>Проведено ТО: Июль 2026 г.</v>
      </c>
      <c r="D16" s="20"/>
      <c r="E16" s="13" t="str">
        <f ca="1">"Проведено ТО: " &amp; INDIRECT(ADDRESS(INT(ROUNDUP(((ROW())/6), 1)) + (2+'Исходная информация'!$N$3), 4, 1, 1, "Исходная информация")) &amp; " " &amp; INDIRECT(ADDRESS(INT(ROUNDUP(((ROW())/6), 1)) + (2+'Исходная информация'!$N$3), 5, 1, 1, "Исходная информация")) &amp; " г."</f>
        <v>Проведено ТО: Июль 2026 г.</v>
      </c>
      <c r="F16" s="10"/>
      <c r="G16" s="10"/>
      <c r="H16" s="10"/>
    </row>
    <row r="17" spans="1:8" ht="13.5" customHeight="1" x14ac:dyDescent="0.25">
      <c r="A17" s="11" t="str">
        <f ca="1">"Следующее ТО: " &amp; INDIRECT(ADDRESS(INT(ROUNDUP(((ROW())/6), 1)) + 2, 9, 1, 1, "Исходная информация")) &amp; " " &amp; INDIRECT(ADDRESS(INT(ROUNDUP(((ROW())/6), 1)) + 2, 6, 1, 1, "Исходная информация")) &amp; " г."</f>
        <v>Следующее ТО: Ноябрь 2027 г.</v>
      </c>
      <c r="B17" s="7"/>
      <c r="C17" s="12" t="str">
        <f ca="1">"Следующее ТО: " &amp; INDIRECT(ADDRESS(INT(ROUNDUP(((ROW())/6), 1)) + (2+'Исходная информация'!$N$2), 9, 1, 1, "Исходная информация")) &amp; " " &amp; INDIRECT(ADDRESS(INT(ROUNDUP(((ROW())/6), 1)) + (2+'Исходная информация'!$N$2), 6, 1, 1, "Исходная информация")) &amp; " г."</f>
        <v>Следующее ТО: Июль 2027 г.</v>
      </c>
      <c r="D17" s="20"/>
      <c r="E17" s="13" t="str">
        <f ca="1">"Следующее ТО: " &amp; INDIRECT(ADDRESS(INT(ROUNDUP(((ROW())/6), 1)) + (2+'Исходная информация'!$N$3), 9, 1, 1, "Исходная информация")) &amp; " " &amp; INDIRECT(ADDRESS(INT(ROUNDUP(((ROW())/6), 1)) + (2+'Исходная информация'!$N$3), 6, 1, 1, "Исходная информация")) &amp; " г."</f>
        <v>Следующее ТО: Ноябрь 2027 г.</v>
      </c>
      <c r="F17" s="10"/>
      <c r="G17" s="10"/>
      <c r="H17" s="10"/>
    </row>
    <row r="18" spans="1:8" s="19" customFormat="1" ht="27" customHeight="1" x14ac:dyDescent="0.25">
      <c r="A18" s="14" t="str">
        <f ca="1">"Инженер ОЭиРМО: " &amp; INDIRECT(ADDRESS(INT(ROUNDUP(((ROW())/6), 1)) + 2, 7, 1, 1, "Исходная информация"))</f>
        <v>Инженер ОЭиРМО: Данилова К.И.</v>
      </c>
      <c r="B18" s="15"/>
      <c r="C18" s="16" t="str">
        <f ca="1">"Инженер ОЭиРМО: " &amp; INDIRECT(ADDRESS(INT(ROUNDUP(((ROW())/6), 1)) + (2+'Исходная информация'!$N$2), 7, 1, 1, "Исходная информация"))</f>
        <v>Инженер ОЭиРМО: Данилова К.И.</v>
      </c>
      <c r="D18" s="21"/>
      <c r="E18" s="17" t="str">
        <f ca="1">"Инженер ОЭиРМО: " &amp; INDIRECT(ADDRESS(INT(ROUNDUP(((ROW())/6), 1)) + (2+'Исходная информация'!$N$3), 7, 1, 1, "Исходная информация"))</f>
        <v>Инженер ОЭиРМО: Данилова К.И.</v>
      </c>
      <c r="F18" s="18"/>
      <c r="G18" s="18"/>
      <c r="H18" s="18"/>
    </row>
    <row r="19" spans="1:8" s="1" customFormat="1" ht="30.75" customHeight="1" x14ac:dyDescent="0.25">
      <c r="A19" s="6" t="str">
        <f ca="1">"Наименование: " &amp; INDIRECT(ADDRESS(INT(ROUNDUP(((ROW())/6), 1)) + 2, 1, 1, 1, "Исходная информация"))</f>
        <v xml:space="preserve">Наименование: Стол операционный с принадлежностями HY Base 3000.
"Нанджин Миндрей Био-Медикал Электроникс Ко., Лтд." </v>
      </c>
      <c r="B19" s="7"/>
      <c r="C19" s="8" t="str">
        <f ca="1">"Наименование: " &amp; INDIRECT(ADDRESS(INT(ROUNDUP(((ROW())/6), 1)) + (2+'Исходная информация'!$N$2), 1, 1, 1, "Исходная информация"))</f>
        <v>Наименование: отсасыватель универсальный с автоматическим поддержанием заданного уровня В-80А</v>
      </c>
      <c r="D19" s="20"/>
      <c r="E19" s="9" t="str">
        <f ca="1">"Наименование: " &amp; INDIRECT(ADDRESS(INT(ROUNDUP(((ROW())/6), 1)) + (2+'Исходная информация'!$N$3), 1, 1, 1, "Исходная информация"))</f>
        <v xml:space="preserve">Наименование: Стол операционный с принадлежностями HY Base 3000.
"Нанджин Миндрей Био-Медикал Электроникс Ко., Лтд." </v>
      </c>
      <c r="F19" s="10"/>
      <c r="G19" s="10"/>
      <c r="H19" s="10"/>
    </row>
    <row r="20" spans="1:8" ht="13.5" customHeight="1" x14ac:dyDescent="0.25">
      <c r="A20" s="11" t="str">
        <f ca="1">"Инв. №: " &amp; INDIRECT(ADDRESS(INT(ROUNDUP(((ROW())/6), 1)) + 2, 2, 1, 1, "Исходная информация"))</f>
        <v>Инв. №: 16917</v>
      </c>
      <c r="B20" s="7"/>
      <c r="C20" s="12" t="str">
        <f ca="1">"Инв. №: " &amp; INDIRECT(ADDRESS(INT(ROUNDUP(((ROW())/6), 1)) + (2+'Исходная информация'!$N$2), 2, 1, 1, "Исходная информация"))</f>
        <v>Инв. №: 000410124.04.80191910</v>
      </c>
      <c r="D20" s="20"/>
      <c r="E20" s="13" t="str">
        <f ca="1">"Инв. №: " &amp; INDIRECT(ADDRESS(INT(ROUNDUP(((ROW())/6), 1)) + (2+'Исходная информация'!$N$3), 2, 1, 1, "Исходная информация"))</f>
        <v>Инв. №: 16917</v>
      </c>
      <c r="F20" s="10"/>
      <c r="G20" s="10"/>
      <c r="H20" s="10"/>
    </row>
    <row r="21" spans="1:8" ht="13.5" customHeight="1" x14ac:dyDescent="0.25">
      <c r="A21" s="11" t="str">
        <f ca="1">"Периодичность ТО: " &amp; INDIRECT(ADDRESS(INT(ROUNDUP(((ROW())/6), 1)) + 2, 3, 1, 1, "Исходная информация"))</f>
        <v>Периодичность ТО: 12 мес</v>
      </c>
      <c r="B21" s="7"/>
      <c r="C21" s="12" t="str">
        <f ca="1">"Периодичность ТО: " &amp; INDIRECT(ADDRESS(INT(ROUNDUP(((ROW())/6), 1)) + (2+'Исходная информация'!$N$2), 3, 1, 1, "Исходная информация"))</f>
        <v>Периодичность ТО: 12 мес</v>
      </c>
      <c r="D21" s="20"/>
      <c r="E21" s="13" t="str">
        <f ca="1">"Периодичность ТО: " &amp; INDIRECT(ADDRESS(INT(ROUNDUP(((ROW())/6), 1)) + (2+'Исходная информация'!$N$3), 3, 1, 1, "Исходная информация"))</f>
        <v>Периодичность ТО: 12 мес</v>
      </c>
      <c r="F21" s="10"/>
      <c r="G21" s="10"/>
      <c r="H21" s="10"/>
    </row>
    <row r="22" spans="1:8" ht="13.5" customHeight="1" x14ac:dyDescent="0.25">
      <c r="A22" s="11" t="str">
        <f ca="1">"Проведено ТО: " &amp; INDIRECT(ADDRESS(INT(ROUNDUP(((ROW())/6), 1)) + 2, 4, 1, 1, "Исходная информация")) &amp; " " &amp; INDIRECT(ADDRESS(INT(ROUNDUP(((ROW())/6), 1)) + 2, 5, 1, 1, "Исходная информация")) &amp; " г."</f>
        <v>Проведено ТО: Июль 2026 г.</v>
      </c>
      <c r="B22" s="7"/>
      <c r="C22" s="12" t="str">
        <f ca="1">"Проведено ТО: " &amp; INDIRECT(ADDRESS(INT(ROUNDUP(((ROW())/6), 1)) + (2+'Исходная информация'!$N$2), 4, 1, 1, "Исходная информация")) &amp; " " &amp; INDIRECT(ADDRESS(INT(ROUNDUP(((ROW())/6), 1)) + (2+'Исходная информация'!$N$2), 5, 1, 1, "Исходная информация")) &amp; " г."</f>
        <v>Проведено ТО: Июль 2026 г.</v>
      </c>
      <c r="D22" s="20"/>
      <c r="E22" s="13" t="str">
        <f ca="1">"Проведено ТО: " &amp; INDIRECT(ADDRESS(INT(ROUNDUP(((ROW())/6), 1)) + (2+'Исходная информация'!$N$3), 4, 1, 1, "Исходная информация")) &amp; " " &amp; INDIRECT(ADDRESS(INT(ROUNDUP(((ROW())/6), 1)) + (2+'Исходная информация'!$N$3), 5, 1, 1, "Исходная информация")) &amp; " г."</f>
        <v>Проведено ТО: Июль 2026 г.</v>
      </c>
      <c r="F22" s="10"/>
      <c r="G22" s="10"/>
      <c r="H22" s="10"/>
    </row>
    <row r="23" spans="1:8" ht="13.5" customHeight="1" x14ac:dyDescent="0.25">
      <c r="A23" s="11" t="str">
        <f ca="1">"Следующее ТО: " &amp; INDIRECT(ADDRESS(INT(ROUNDUP(((ROW())/6), 1)) + 2, 9, 1, 1, "Исходная информация")) &amp; " " &amp; INDIRECT(ADDRESS(INT(ROUNDUP(((ROW())/6), 1)) + 2, 6, 1, 1, "Исходная информация")) &amp; " г."</f>
        <v>Следующее ТО: Декабрь 2027 г.</v>
      </c>
      <c r="B23" s="7"/>
      <c r="C23" s="12" t="str">
        <f ca="1">"Следующее ТО: " &amp; INDIRECT(ADDRESS(INT(ROUNDUP(((ROW())/6), 1)) + (2+'Исходная информация'!$N$2), 9, 1, 1, "Исходная информация")) &amp; " " &amp; INDIRECT(ADDRESS(INT(ROUNDUP(((ROW())/6), 1)) + (2+'Исходная информация'!$N$2), 6, 1, 1, "Исходная информация")) &amp; " г."</f>
        <v>Следующее ТО: Август 2027 г.</v>
      </c>
      <c r="D23" s="20"/>
      <c r="E23" s="13" t="str">
        <f ca="1">"Следующее ТО: " &amp; INDIRECT(ADDRESS(INT(ROUNDUP(((ROW())/6), 1)) + (2+'Исходная информация'!$N$3), 9, 1, 1, "Исходная информация")) &amp; " " &amp; INDIRECT(ADDRESS(INT(ROUNDUP(((ROW())/6), 1)) + (2+'Исходная информация'!$N$3), 6, 1, 1, "Исходная информация")) &amp; " г."</f>
        <v>Следующее ТО: Декабрь 2027 г.</v>
      </c>
      <c r="F23" s="10"/>
      <c r="G23" s="10"/>
      <c r="H23" s="10"/>
    </row>
    <row r="24" spans="1:8" s="19" customFormat="1" ht="24" customHeight="1" x14ac:dyDescent="0.25">
      <c r="A24" s="14" t="str">
        <f ca="1">"Инженер ОЭиРМО: " &amp; INDIRECT(ADDRESS(INT(ROUNDUP(((ROW())/6), 1)) + 2, 7, 1, 1, "Исходная информация"))</f>
        <v>Инженер ОЭиРМО: Данилова К.И.</v>
      </c>
      <c r="B24" s="15"/>
      <c r="C24" s="16" t="str">
        <f ca="1">"Инженер ОЭиРМО: " &amp; INDIRECT(ADDRESS(INT(ROUNDUP(((ROW())/6), 1)) + (2+'Исходная информация'!$N$2), 7, 1, 1, "Исходная информация"))</f>
        <v>Инженер ОЭиРМО: Данилова К.И.</v>
      </c>
      <c r="D24" s="21"/>
      <c r="E24" s="17" t="str">
        <f ca="1">"Инженер ОЭиРМО: " &amp; INDIRECT(ADDRESS(INT(ROUNDUP(((ROW())/6), 1)) + (2+'Исходная информация'!$N$3), 7, 1, 1, "Исходная информация"))</f>
        <v>Инженер ОЭиРМО: Данилова К.И.</v>
      </c>
      <c r="F24" s="18"/>
      <c r="G24" s="18"/>
      <c r="H24" s="18"/>
    </row>
    <row r="25" spans="1:8" s="1" customFormat="1" ht="37.5" customHeight="1" x14ac:dyDescent="0.25">
      <c r="A25" s="6" t="str">
        <f ca="1">"Наименование: " &amp; INDIRECT(ADDRESS(INT(ROUNDUP(((ROW())/6), 1)) + 2, 1, 1, 1, "Исходная информация"))</f>
        <v xml:space="preserve">Наименование: Стол операционный с принадлежностями HY Base 3000.
"Нанджин Миндрей Био-Медикал Электроникс Ко., Лтд." </v>
      </c>
      <c r="B25" s="7"/>
      <c r="C25" s="8" t="str">
        <f ca="1">"Наименование: " &amp; INDIRECT(ADDRESS(INT(ROUNDUP(((ROW())/6), 1)) + (2+'Исходная информация'!$N$2), 1, 1, 1, "Исходная информация"))</f>
        <v>Наименование: отсасыватель универсальный с автоматическим поддержанием заданного уровня В-80А</v>
      </c>
      <c r="D25" s="20"/>
      <c r="E25" s="9" t="str">
        <f ca="1">"Наименование: " &amp; INDIRECT(ADDRESS(INT(ROUNDUP(((ROW())/6), 1)) + (2+'Исходная информация'!$N$3), 1, 1, 1, "Исходная информация"))</f>
        <v xml:space="preserve">Наименование: Стол операционный с принадлежностями HY Base 3000.
"Нанджин Миндрей Био-Медикал Электроникс Ко., Лтд." </v>
      </c>
      <c r="F25" s="10"/>
      <c r="G25" s="10"/>
      <c r="H25" s="10"/>
    </row>
    <row r="26" spans="1:8" ht="13.5" customHeight="1" x14ac:dyDescent="0.25">
      <c r="A26" s="11" t="str">
        <f ca="1">"Инв. №: " &amp; INDIRECT(ADDRESS(INT(ROUNDUP(((ROW())/6), 1)) + 2, 2, 1, 1, "Исходная информация"))</f>
        <v>Инв. №: 16918</v>
      </c>
      <c r="B26" s="7"/>
      <c r="C26" s="12" t="str">
        <f ca="1">"Инв. №: " &amp; INDIRECT(ADDRESS(INT(ROUNDUP(((ROW())/6), 1)) + (2+'Исходная информация'!$N$2), 2, 1, 1, "Исходная информация"))</f>
        <v>Инв. №: 000410124.04.80191912</v>
      </c>
      <c r="D26" s="20"/>
      <c r="E26" s="13" t="str">
        <f ca="1">"Инв. №: " &amp; INDIRECT(ADDRESS(INT(ROUNDUP(((ROW())/6), 1)) + (2+'Исходная информация'!$N$3), 2, 1, 1, "Исходная информация"))</f>
        <v>Инв. №: 16918</v>
      </c>
      <c r="F26" s="10"/>
      <c r="G26" s="10"/>
      <c r="H26" s="10"/>
    </row>
    <row r="27" spans="1:8" ht="13.5" customHeight="1" x14ac:dyDescent="0.25">
      <c r="A27" s="11" t="str">
        <f ca="1">"Периодичность ТО: " &amp; INDIRECT(ADDRESS(INT(ROUNDUP(((ROW())/6), 1)) + 2, 3, 1, 1, "Исходная информация"))</f>
        <v>Периодичность ТО: 12 мес</v>
      </c>
      <c r="B27" s="7"/>
      <c r="C27" s="12" t="str">
        <f ca="1">"Периодичность ТО: " &amp; INDIRECT(ADDRESS(INT(ROUNDUP(((ROW())/6), 1)) + (2+'Исходная информация'!$N$2), 3, 1, 1, "Исходная информация"))</f>
        <v>Периодичность ТО: 12 мес</v>
      </c>
      <c r="D27" s="20"/>
      <c r="E27" s="13" t="str">
        <f ca="1">"Периодичность ТО: " &amp; INDIRECT(ADDRESS(INT(ROUNDUP(((ROW())/6), 1)) + (2+'Исходная информация'!$N$3), 3, 1, 1, "Исходная информация"))</f>
        <v>Периодичность ТО: 12 мес</v>
      </c>
      <c r="F27" s="10"/>
      <c r="G27" s="10"/>
      <c r="H27" s="10"/>
    </row>
    <row r="28" spans="1:8" ht="13.5" customHeight="1" x14ac:dyDescent="0.25">
      <c r="A28" s="11" t="str">
        <f ca="1">"Проведено ТО: " &amp; INDIRECT(ADDRESS(INT(ROUNDUP(((ROW())/6), 1)) + 2, 4, 1, 1, "Исходная информация")) &amp; " " &amp; INDIRECT(ADDRESS(INT(ROUNDUP(((ROW())/6), 1)) + 2, 5, 1, 1, "Исходная информация")) &amp; " г."</f>
        <v>Проведено ТО: Июль 2026 г.</v>
      </c>
      <c r="B28" s="7"/>
      <c r="C28" s="12" t="str">
        <f ca="1">"Проведено ТО: " &amp; INDIRECT(ADDRESS(INT(ROUNDUP(((ROW())/6), 1)) + (2+'Исходная информация'!$N$2), 4, 1, 1, "Исходная информация")) &amp; " " &amp; INDIRECT(ADDRESS(INT(ROUNDUP(((ROW())/6), 1)) + (2+'Исходная информация'!$N$2), 5, 1, 1, "Исходная информация")) &amp; " г."</f>
        <v>Проведено ТО: Июль 2026 г.</v>
      </c>
      <c r="D28" s="20"/>
      <c r="E28" s="13" t="str">
        <f ca="1">"Проведено ТО: " &amp; INDIRECT(ADDRESS(INT(ROUNDUP(((ROW())/6), 1)) + (2+'Исходная информация'!$N$3), 4, 1, 1, "Исходная информация")) &amp; " " &amp; INDIRECT(ADDRESS(INT(ROUNDUP(((ROW())/6), 1)) + (2+'Исходная информация'!$N$3), 5, 1, 1, "Исходная информация")) &amp; " г."</f>
        <v>Проведено ТО: Июль 2026 г.</v>
      </c>
      <c r="F28" s="10"/>
      <c r="G28" s="10"/>
      <c r="H28" s="10"/>
    </row>
    <row r="29" spans="1:8" ht="13.5" customHeight="1" x14ac:dyDescent="0.25">
      <c r="A29" s="11" t="str">
        <f ca="1">"Следующее ТО: " &amp; INDIRECT(ADDRESS(INT(ROUNDUP(((ROW())/6), 1)) + 2, 9, 1, 1, "Исходная информация")) &amp; " " &amp; INDIRECT(ADDRESS(INT(ROUNDUP(((ROW())/6), 1)) + 2, 6, 1, 1, "Исходная информация")) &amp; " г."</f>
        <v>Следующее ТО: Январь 2027 г.</v>
      </c>
      <c r="B29" s="7"/>
      <c r="C29" s="12" t="str">
        <f ca="1">"Следующее ТО: " &amp; INDIRECT(ADDRESS(INT(ROUNDUP(((ROW())/6), 1)) + (2+'Исходная информация'!$N$2), 9, 1, 1, "Исходная информация")) &amp; " " &amp; INDIRECT(ADDRESS(INT(ROUNDUP(((ROW())/6), 1)) + (2+'Исходная информация'!$N$2), 6, 1, 1, "Исходная информация")) &amp; " г."</f>
        <v>Следующее ТО: Сентябрь 2027 г.</v>
      </c>
      <c r="D29" s="20"/>
      <c r="E29" s="13" t="str">
        <f ca="1">"Следующее ТО: " &amp; INDIRECT(ADDRESS(INT(ROUNDUP(((ROW())/6), 1)) + (2+'Исходная информация'!$N$3), 9, 1, 1, "Исходная информация")) &amp; " " &amp; INDIRECT(ADDRESS(INT(ROUNDUP(((ROW())/6), 1)) + (2+'Исходная информация'!$N$3), 6, 1, 1, "Исходная информация")) &amp; " г."</f>
        <v>Следующее ТО: Январь 2027 г.</v>
      </c>
      <c r="F29" s="10"/>
      <c r="G29" s="10"/>
      <c r="H29" s="10"/>
    </row>
    <row r="30" spans="1:8" s="19" customFormat="1" ht="37.5" customHeight="1" x14ac:dyDescent="0.25">
      <c r="A30" s="14" t="str">
        <f ca="1">"Инженер ОЭиРМО: " &amp; INDIRECT(ADDRESS(INT(ROUNDUP(((ROW())/6), 1)) + 2, 7, 1, 1, "Исходная информация"))</f>
        <v>Инженер ОЭиРМО: Данилова К.И.</v>
      </c>
      <c r="B30" s="15"/>
      <c r="C30" s="16" t="str">
        <f ca="1">"Инженер ОЭиРМО: " &amp; INDIRECT(ADDRESS(INT(ROUNDUP(((ROW())/6), 1)) + (2+'Исходная информация'!$N$2), 7, 1, 1, "Исходная информация"))</f>
        <v>Инженер ОЭиРМО: Данилова К.И.</v>
      </c>
      <c r="D30" s="21"/>
      <c r="E30" s="17" t="str">
        <f ca="1">"Инженер ОЭиРМО: " &amp; INDIRECT(ADDRESS(INT(ROUNDUP(((ROW())/6), 1)) + (2+'Исходная информация'!$N$3), 7, 1, 1, "Исходная информация"))</f>
        <v>Инженер ОЭиРМО: Данилова К.И.</v>
      </c>
      <c r="F30" s="18"/>
      <c r="G30" s="18"/>
      <c r="H30" s="18"/>
    </row>
    <row r="31" spans="1:8" s="1" customFormat="1" ht="30.75" customHeight="1" x14ac:dyDescent="0.25">
      <c r="A31" s="6" t="str">
        <f ca="1">"Наименование: " &amp; INDIRECT(ADDRESS(INT(ROUNDUP(((ROW())/6), 1)) + 2, 1, 1, 1, "Исходная информация"))</f>
        <v xml:space="preserve">Наименование: Устройство для запаивания пакетов (390 Вт) </v>
      </c>
      <c r="B31" s="7"/>
      <c r="C31" s="8" t="str">
        <f ca="1">"Наименование: " &amp; INDIRECT(ADDRESS(INT(ROUNDUP(((ROW())/6), 1)) + (2+'Исходная информация'!$N$2), 1, 1, 1, "Исходная информация"))</f>
        <v>Наименование: отсасыватель универсальный с автоматическим поддержанием заданного уровня В-80А</v>
      </c>
      <c r="D31" s="20"/>
      <c r="E31" s="9" t="str">
        <f ca="1">"Наименование: " &amp; INDIRECT(ADDRESS(INT(ROUNDUP(((ROW())/6), 1)) + (2+'Исходная информация'!$N$3), 1, 1, 1, "Исходная информация"))</f>
        <v xml:space="preserve">Наименование: Устройство для запаивания пакетов (390 Вт) </v>
      </c>
      <c r="F31" s="10"/>
      <c r="G31" s="10"/>
      <c r="H31" s="10"/>
    </row>
    <row r="32" spans="1:8" ht="13.5" customHeight="1" x14ac:dyDescent="0.25">
      <c r="A32" s="11" t="str">
        <f ca="1">"Инв. №: " &amp; INDIRECT(ADDRESS(INT(ROUNDUP(((ROW())/6), 1)) + 2, 2, 1, 1, "Исходная информация"))</f>
        <v>Инв. №: 27823</v>
      </c>
      <c r="B32" s="7"/>
      <c r="C32" s="12" t="str">
        <f ca="1">"Инв. №: " &amp; INDIRECT(ADDRESS(INT(ROUNDUP(((ROW())/6), 1)) + (2+'Исходная информация'!$N$2), 2, 1, 1, "Исходная информация"))</f>
        <v>Инв. №: 000410124.04.80191916</v>
      </c>
      <c r="D32" s="20"/>
      <c r="E32" s="13" t="str">
        <f ca="1">"Инв. №: " &amp; INDIRECT(ADDRESS(INT(ROUNDUP(((ROW())/6), 1)) + (2+'Исходная информация'!$N$3), 2, 1, 1, "Исходная информация"))</f>
        <v>Инв. №: 27823</v>
      </c>
      <c r="F32" s="10"/>
      <c r="G32" s="10"/>
      <c r="H32" s="10"/>
    </row>
    <row r="33" spans="1:8" ht="13.5" customHeight="1" x14ac:dyDescent="0.25">
      <c r="A33" s="11" t="str">
        <f ca="1">"Периодичность ТО: " &amp; INDIRECT(ADDRESS(INT(ROUNDUP(((ROW())/6), 1)) + 2, 3, 1, 1, "Исходная информация"))</f>
        <v>Периодичность ТО: 12 мес</v>
      </c>
      <c r="B33" s="7"/>
      <c r="C33" s="12" t="str">
        <f ca="1">"Периодичность ТО: " &amp; INDIRECT(ADDRESS(INT(ROUNDUP(((ROW())/6), 1)) + (2+'Исходная информация'!$N$2), 3, 1, 1, "Исходная информация"))</f>
        <v>Периодичность ТО: 12 мес</v>
      </c>
      <c r="D33" s="20"/>
      <c r="E33" s="13" t="str">
        <f ca="1">"Периодичность ТО: " &amp; INDIRECT(ADDRESS(INT(ROUNDUP(((ROW())/6), 1)) + (2+'Исходная информация'!$N$3), 3, 1, 1, "Исходная информация"))</f>
        <v>Периодичность ТО: 12 мес</v>
      </c>
      <c r="F33" s="10"/>
      <c r="G33" s="10"/>
      <c r="H33" s="10"/>
    </row>
    <row r="34" spans="1:8" ht="13.5" customHeight="1" x14ac:dyDescent="0.25">
      <c r="A34" s="11" t="str">
        <f ca="1">"Проведено ТО: " &amp; INDIRECT(ADDRESS(INT(ROUNDUP(((ROW())/6), 1)) + 2, 4, 1, 1, "Исходная информация")) &amp; " " &amp; INDIRECT(ADDRESS(INT(ROUNDUP(((ROW())/6), 1)) + 2, 5, 1, 1, "Исходная информация")) &amp; " г."</f>
        <v>Проведено ТО: Июль 2026 г.</v>
      </c>
      <c r="B34" s="7"/>
      <c r="C34" s="12" t="str">
        <f ca="1">"Проведено ТО: " &amp; INDIRECT(ADDRESS(INT(ROUNDUP(((ROW())/6), 1)) + (2+'Исходная информация'!$N$2), 4, 1, 1, "Исходная информация")) &amp; " " &amp; INDIRECT(ADDRESS(INT(ROUNDUP(((ROW())/6), 1)) + (2+'Исходная информация'!$N$2), 5, 1, 1, "Исходная информация")) &amp; " г."</f>
        <v>Проведено ТО: Июль 2026 г.</v>
      </c>
      <c r="D34" s="20"/>
      <c r="E34" s="13" t="str">
        <f ca="1">"Проведено ТО: " &amp; INDIRECT(ADDRESS(INT(ROUNDUP(((ROW())/6), 1)) + (2+'Исходная информация'!$N$3), 4, 1, 1, "Исходная информация")) &amp; " " &amp; INDIRECT(ADDRESS(INT(ROUNDUP(((ROW())/6), 1)) + (2+'Исходная информация'!$N$3), 5, 1, 1, "Исходная информация")) &amp; " г."</f>
        <v>Проведено ТО: Июль 2026 г.</v>
      </c>
      <c r="F34" s="10"/>
      <c r="G34" s="10"/>
      <c r="H34" s="10"/>
    </row>
    <row r="35" spans="1:8" ht="13.5" customHeight="1" x14ac:dyDescent="0.25">
      <c r="A35" s="11" t="str">
        <f ca="1">"Следующее ТО: " &amp; INDIRECT(ADDRESS(INT(ROUNDUP(((ROW())/6), 1)) + 2, 9, 1, 1, "Исходная информация")) &amp; " " &amp; INDIRECT(ADDRESS(INT(ROUNDUP(((ROW())/6), 1)) + 2, 6, 1, 1, "Исходная информация")) &amp; " г."</f>
        <v>Следующее ТО: Февраль 2027 г.</v>
      </c>
      <c r="B35" s="7"/>
      <c r="C35" s="12" t="str">
        <f ca="1">"Следующее ТО: " &amp; INDIRECT(ADDRESS(INT(ROUNDUP(((ROW())/6), 1)) + (2+'Исходная информация'!$N$2), 9, 1, 1, "Исходная информация")) &amp; " " &amp; INDIRECT(ADDRESS(INT(ROUNDUP(((ROW())/6), 1)) + (2+'Исходная информация'!$N$2), 6, 1, 1, "Исходная информация")) &amp; " г."</f>
        <v>Следующее ТО: Октябрь 2027 г.</v>
      </c>
      <c r="D35" s="20"/>
      <c r="E35" s="13" t="str">
        <f ca="1">"Следующее ТО: " &amp; INDIRECT(ADDRESS(INT(ROUNDUP(((ROW())/6), 1)) + (2+'Исходная информация'!$N$3), 9, 1, 1, "Исходная информация")) &amp; " " &amp; INDIRECT(ADDRESS(INT(ROUNDUP(((ROW())/6), 1)) + (2+'Исходная информация'!$N$3), 6, 1, 1, "Исходная информация")) &amp; " г."</f>
        <v>Следующее ТО: Февраль 2027 г.</v>
      </c>
      <c r="F35" s="10"/>
      <c r="G35" s="10"/>
      <c r="H35" s="10"/>
    </row>
    <row r="36" spans="1:8" s="19" customFormat="1" ht="22.5" customHeight="1" x14ac:dyDescent="0.25">
      <c r="A36" s="14" t="str">
        <f ca="1">"Инженер ОЭиРМО: " &amp; INDIRECT(ADDRESS(INT(ROUNDUP(((ROW())/6), 1)) + 2, 7, 1, 1, "Исходная информация"))</f>
        <v>Инженер ОЭиРМО: Данилова К.И.</v>
      </c>
      <c r="B36" s="15"/>
      <c r="C36" s="16" t="str">
        <f ca="1">"Инженер ОЭиРМО: " &amp; INDIRECT(ADDRESS(INT(ROUNDUP(((ROW())/6), 1)) + (2+'Исходная информация'!$N$2), 7, 1, 1, "Исходная информация"))</f>
        <v>Инженер ОЭиРМО: Данилова К.И.</v>
      </c>
      <c r="D36" s="21"/>
      <c r="E36" s="17" t="str">
        <f ca="1">"Инженер ОЭиРМО: " &amp; INDIRECT(ADDRESS(INT(ROUNDUP(((ROW())/6), 1)) + (2+'Исходная информация'!$N$3), 7, 1, 1, "Исходная информация"))</f>
        <v>Инженер ОЭиРМО: Данилова К.И.</v>
      </c>
      <c r="F36" s="18"/>
      <c r="G36" s="18"/>
      <c r="H36" s="18"/>
    </row>
    <row r="37" spans="1:8" s="1" customFormat="1" ht="30.75" customHeight="1" x14ac:dyDescent="0.25">
      <c r="A37" s="6" t="str">
        <f ca="1">"Наименование: " &amp; INDIRECT(ADDRESS(INT(ROUNDUP(((ROW())/6), 1)) + 2, 1, 1, 1, "Исходная информация"))</f>
        <v xml:space="preserve">Наименование: аппарат  высокочастотный электрохирургический </v>
      </c>
      <c r="B37" s="7"/>
      <c r="C37" s="8" t="str">
        <f ca="1">"Наименование: " &amp; INDIRECT(ADDRESS(INT(ROUNDUP(((ROW())/6), 1)) + (2+'Исходная информация'!$N$2), 1, 1, 1, "Исходная информация"))</f>
        <v>Наименование: отсасыватель универсальный с автоматическим поддержанием заданного уровня В-80А</v>
      </c>
      <c r="D37" s="20"/>
      <c r="E37" s="9" t="str">
        <f ca="1">"Наименование: " &amp; INDIRECT(ADDRESS(INT(ROUNDUP(((ROW())/6), 1)) + (2+'Исходная информация'!$N$3), 1, 1, 1, "Исходная информация"))</f>
        <v xml:space="preserve">Наименование: аппарат  высокочастотный электрохирургический </v>
      </c>
      <c r="F37" s="10"/>
      <c r="G37" s="10"/>
      <c r="H37" s="10"/>
    </row>
    <row r="38" spans="1:8" ht="13.5" customHeight="1" x14ac:dyDescent="0.25">
      <c r="A38" s="11" t="str">
        <f ca="1">"Инв. №: " &amp; INDIRECT(ADDRESS(INT(ROUNDUP(((ROW())/6), 1)) + 2, 2, 1, 1, "Исходная информация"))</f>
        <v>Инв. №: 000410124.04.80191719</v>
      </c>
      <c r="B38" s="7"/>
      <c r="C38" s="12" t="str">
        <f ca="1">"Инв. №: " &amp; INDIRECT(ADDRESS(INT(ROUNDUP(((ROW())/6), 1)) + (2+'Исходная информация'!$N$2), 2, 1, 1, "Исходная информация"))</f>
        <v>Инв. №: 000410124.04.80191917</v>
      </c>
      <c r="D38" s="20"/>
      <c r="E38" s="13" t="str">
        <f ca="1">"Инв. №: " &amp; INDIRECT(ADDRESS(INT(ROUNDUP(((ROW())/6), 1)) + (2+'Исходная информация'!$N$3), 2, 1, 1, "Исходная информация"))</f>
        <v>Инв. №: 000410124.04.80191719</v>
      </c>
      <c r="F38" s="10"/>
      <c r="G38" s="10"/>
      <c r="H38" s="10"/>
    </row>
    <row r="39" spans="1:8" ht="13.5" customHeight="1" x14ac:dyDescent="0.25">
      <c r="A39" s="11" t="str">
        <f ca="1">"Периодичность ТО: " &amp; INDIRECT(ADDRESS(INT(ROUNDUP(((ROW())/6), 1)) + 2, 3, 1, 1, "Исходная информация"))</f>
        <v>Периодичность ТО: 12 мес</v>
      </c>
      <c r="B39" s="7"/>
      <c r="C39" s="12" t="str">
        <f ca="1">"Периодичность ТО: " &amp; INDIRECT(ADDRESS(INT(ROUNDUP(((ROW())/6), 1)) + (2+'Исходная информация'!$N$2), 3, 1, 1, "Исходная информация"))</f>
        <v>Периодичность ТО: 12 мес</v>
      </c>
      <c r="D39" s="20"/>
      <c r="E39" s="13" t="str">
        <f ca="1">"Периодичность ТО: " &amp; INDIRECT(ADDRESS(INT(ROUNDUP(((ROW())/6), 1)) + (2+'Исходная информация'!$N$3), 3, 1, 1, "Исходная информация"))</f>
        <v>Периодичность ТО: 12 мес</v>
      </c>
      <c r="F39" s="10"/>
      <c r="G39" s="10"/>
      <c r="H39" s="10"/>
    </row>
    <row r="40" spans="1:8" ht="13.5" customHeight="1" x14ac:dyDescent="0.25">
      <c r="A40" s="11" t="str">
        <f ca="1">"Проведено ТО: " &amp; INDIRECT(ADDRESS(INT(ROUNDUP(((ROW())/6), 1)) + 2, 4, 1, 1, "Исходная информация")) &amp; " " &amp; INDIRECT(ADDRESS(INT(ROUNDUP(((ROW())/6), 1)) + 2, 5, 1, 1, "Исходная информация")) &amp; " г."</f>
        <v>Проведено ТО: Июль 2026 г.</v>
      </c>
      <c r="B40" s="7"/>
      <c r="C40" s="12" t="str">
        <f ca="1">"Проведено ТО: " &amp; INDIRECT(ADDRESS(INT(ROUNDUP(((ROW())/6), 1)) + (2+'Исходная информация'!$N$2), 4, 1, 1, "Исходная информация")) &amp; " " &amp; INDIRECT(ADDRESS(INT(ROUNDUP(((ROW())/6), 1)) + (2+'Исходная информация'!$N$2), 5, 1, 1, "Исходная информация")) &amp; " г."</f>
        <v>Проведено ТО: Июль 2026 г.</v>
      </c>
      <c r="D40" s="20"/>
      <c r="E40" s="13" t="str">
        <f ca="1">"Проведено ТО: " &amp; INDIRECT(ADDRESS(INT(ROUNDUP(((ROW())/6), 1)) + (2+'Исходная информация'!$N$3), 4, 1, 1, "Исходная информация")) &amp; " " &amp; INDIRECT(ADDRESS(INT(ROUNDUP(((ROW())/6), 1)) + (2+'Исходная информация'!$N$3), 5, 1, 1, "Исходная информация")) &amp; " г."</f>
        <v>Проведено ТО: Июль 2026 г.</v>
      </c>
      <c r="F40" s="10"/>
      <c r="G40" s="10"/>
      <c r="H40" s="10"/>
    </row>
    <row r="41" spans="1:8" ht="13.5" customHeight="1" x14ac:dyDescent="0.25">
      <c r="A41" s="11" t="str">
        <f ca="1">"Следующее ТО: " &amp; INDIRECT(ADDRESS(INT(ROUNDUP(((ROW())/6), 1)) + 2, 9, 1, 1, "Исходная информация")) &amp; " " &amp; INDIRECT(ADDRESS(INT(ROUNDUP(((ROW())/6), 1)) + 2, 6, 1, 1, "Исходная информация")) &amp; " г."</f>
        <v>Следующее ТО: Март 2027 г.</v>
      </c>
      <c r="B41" s="7"/>
      <c r="C41" s="12" t="str">
        <f ca="1">"Следующее ТО: " &amp; INDIRECT(ADDRESS(INT(ROUNDUP(((ROW())/6), 1)) + (2+'Исходная информация'!$N$2), 9, 1, 1, "Исходная информация")) &amp; " " &amp; INDIRECT(ADDRESS(INT(ROUNDUP(((ROW())/6), 1)) + (2+'Исходная информация'!$N$2), 6, 1, 1, "Исходная информация")) &amp; " г."</f>
        <v>Следующее ТО: Ноябрь 2027 г.</v>
      </c>
      <c r="D41" s="20"/>
      <c r="E41" s="13" t="str">
        <f ca="1">"Следующее ТО: " &amp; INDIRECT(ADDRESS(INT(ROUNDUP(((ROW())/6), 1)) + (2+'Исходная информация'!$N$3), 9, 1, 1, "Исходная информация")) &amp; " " &amp; INDIRECT(ADDRESS(INT(ROUNDUP(((ROW())/6), 1)) + (2+'Исходная информация'!$N$3), 6, 1, 1, "Исходная информация")) &amp; " г."</f>
        <v>Следующее ТО: Март 2027 г.</v>
      </c>
      <c r="F41" s="10"/>
      <c r="G41" s="10"/>
      <c r="H41" s="10"/>
    </row>
    <row r="42" spans="1:8" s="19" customFormat="1" ht="23.25" customHeight="1" x14ac:dyDescent="0.25">
      <c r="A42" s="14" t="str">
        <f ca="1">"Инженер ОЭиРМО: " &amp; INDIRECT(ADDRESS(INT(ROUNDUP(((ROW())/6), 1)) + 2, 7, 1, 1, "Исходная информация"))</f>
        <v>Инженер ОЭиРМО: Данилова К.И.</v>
      </c>
      <c r="B42" s="15"/>
      <c r="C42" s="16" t="str">
        <f ca="1">"Инженер ОЭиРМО: " &amp; INDIRECT(ADDRESS(INT(ROUNDUP(((ROW())/6), 1)) + (2+'Исходная информация'!$N$2), 7, 1, 1, "Исходная информация"))</f>
        <v>Инженер ОЭиРМО: Данилова К.И.</v>
      </c>
      <c r="D42" s="21"/>
      <c r="E42" s="17" t="str">
        <f ca="1">"Инженер ОЭиРМО: " &amp; INDIRECT(ADDRESS(INT(ROUNDUP(((ROW())/6), 1)) + (2+'Исходная информация'!$N$3), 7, 1, 1, "Исходная информация"))</f>
        <v>Инженер ОЭиРМО: Данилова К.И.</v>
      </c>
      <c r="F42" s="18"/>
      <c r="G42" s="18"/>
      <c r="H42" s="18"/>
    </row>
    <row r="43" spans="1:8" s="1" customFormat="1" ht="30.75" customHeight="1" x14ac:dyDescent="0.25">
      <c r="A43" s="6" t="str">
        <f ca="1">"Наименование: " &amp; INDIRECT(ADDRESS(INT(ROUNDUP(((ROW())/6), 1)) + 2, 1, 1, 1, "Исходная информация"))</f>
        <v>Наименование: видеоэндоскопический комплект HAMOU ENDOMAT</v>
      </c>
      <c r="B43" s="7"/>
      <c r="C43" s="8" t="str">
        <f ca="1">"Наименование: " &amp; INDIRECT(ADDRESS(INT(ROUNDUP(((ROW())/6), 1)) + (2+'Исходная информация'!$N$2), 1, 1, 1, "Исходная информация"))</f>
        <v>Наименование: отсасыватель универсальный с автоматическим поддержанием заданного уровня В-80А</v>
      </c>
      <c r="D43" s="20"/>
      <c r="E43" s="9" t="str">
        <f ca="1">"Наименование: " &amp; INDIRECT(ADDRESS(INT(ROUNDUP(((ROW())/6), 1)) + (2+'Исходная информация'!$N$3), 1, 1, 1, "Исходная информация"))</f>
        <v>Наименование: видеоэндоскопический комплект HAMOU ENDOMAT</v>
      </c>
      <c r="F43" s="10"/>
      <c r="G43" s="10"/>
      <c r="H43" s="10"/>
    </row>
    <row r="44" spans="1:8" ht="13.5" customHeight="1" x14ac:dyDescent="0.25">
      <c r="A44" s="11" t="str">
        <f ca="1">"Инв. №: " &amp; INDIRECT(ADDRESS(INT(ROUNDUP(((ROW())/6), 1)) + 2, 2, 1, 1, "Исходная информация"))</f>
        <v>Инв. №: 000410124.04.80191741</v>
      </c>
      <c r="B44" s="7"/>
      <c r="C44" s="13" t="str">
        <f ca="1">"Инв. №: " &amp; INDIRECT(ADDRESS(INT(ROUNDUP(((ROW())/6), 1)) + (2+'Исходная информация'!$N$2), 2, 1, 1, "Исходная информация"))</f>
        <v>Инв. №: 000410124.04.80191920</v>
      </c>
      <c r="D44" s="20"/>
      <c r="E44" s="13" t="str">
        <f ca="1">"Инв. №: " &amp; INDIRECT(ADDRESS(INT(ROUNDUP(((ROW())/6), 1)) + (2+'Исходная информация'!$N$3), 2, 1, 1, "Исходная информация"))</f>
        <v>Инв. №: 000410124.04.80191741</v>
      </c>
      <c r="F44" s="10"/>
      <c r="G44" s="10"/>
      <c r="H44" s="10"/>
    </row>
    <row r="45" spans="1:8" ht="13.5" customHeight="1" x14ac:dyDescent="0.25">
      <c r="A45" s="11" t="str">
        <f ca="1">"Периодичность ТО: " &amp; INDIRECT(ADDRESS(INT(ROUNDUP(((ROW())/6), 1)) + 2, 3, 1, 1, "Исходная информация"))</f>
        <v>Периодичность ТО: 12 мес</v>
      </c>
      <c r="B45" s="7"/>
      <c r="C45" s="13" t="str">
        <f ca="1">"Периодичность ТО: " &amp; INDIRECT(ADDRESS(INT(ROUNDUP(((ROW())/6), 1)) + (2+'Исходная информация'!$N$2), 3, 1, 1, "Исходная информация"))</f>
        <v>Периодичность ТО: 12 мес</v>
      </c>
      <c r="D45" s="20"/>
      <c r="E45" s="13" t="str">
        <f ca="1">"Периодичность ТО: " &amp; INDIRECT(ADDRESS(INT(ROUNDUP(((ROW())/6), 1)) + (2+'Исходная информация'!$N$3), 3, 1, 1, "Исходная информация"))</f>
        <v>Периодичность ТО: 12 мес</v>
      </c>
      <c r="F45" s="10"/>
      <c r="G45" s="10"/>
      <c r="H45" s="10"/>
    </row>
    <row r="46" spans="1:8" ht="13.5" customHeight="1" x14ac:dyDescent="0.25">
      <c r="A46" s="11" t="str">
        <f ca="1">"Проведено ТО: " &amp; INDIRECT(ADDRESS(INT(ROUNDUP(((ROW())/6), 1)) + 2, 4, 1, 1, "Исходная информация")) &amp; " " &amp; INDIRECT(ADDRESS(INT(ROUNDUP(((ROW())/6), 1)) + 2, 5, 1, 1, "Исходная информация")) &amp; " г."</f>
        <v>Проведено ТО: Июль 2026 г.</v>
      </c>
      <c r="B46" s="7"/>
      <c r="C46" s="13" t="str">
        <f ca="1">"Проведено ТО: " &amp; INDIRECT(ADDRESS(INT(ROUNDUP(((ROW())/6), 1)) + (2+'Исходная информация'!$N$2), 4, 1, 1, "Исходная информация")) &amp; " " &amp; INDIRECT(ADDRESS(INT(ROUNDUP(((ROW())/6), 1)) + (2+'Исходная информация'!$N$2), 5, 1, 1, "Исходная информация")) &amp; " г."</f>
        <v>Проведено ТО: Июль 2026 г.</v>
      </c>
      <c r="D46" s="20"/>
      <c r="E46" s="13" t="str">
        <f ca="1">"Проведено ТО: " &amp; INDIRECT(ADDRESS(INT(ROUNDUP(((ROW())/6), 1)) + (2+'Исходная информация'!$N$3), 4, 1, 1, "Исходная информация")) &amp; " " &amp; INDIRECT(ADDRESS(INT(ROUNDUP(((ROW())/6), 1)) + (2+'Исходная информация'!$N$3), 5, 1, 1, "Исходная информация")) &amp; " г."</f>
        <v>Проведено ТО: Июль 2026 г.</v>
      </c>
      <c r="F46" s="10"/>
      <c r="G46" s="10"/>
      <c r="H46" s="10"/>
    </row>
    <row r="47" spans="1:8" ht="13.5" customHeight="1" x14ac:dyDescent="0.25">
      <c r="A47" s="11" t="str">
        <f ca="1">"Следующее ТО: " &amp; INDIRECT(ADDRESS(INT(ROUNDUP(((ROW())/6), 1)) + 2, 9, 1, 1, "Исходная информация")) &amp; " " &amp; INDIRECT(ADDRESS(INT(ROUNDUP(((ROW())/6), 1)) + 2, 6, 1, 1, "Исходная информация")) &amp; " г."</f>
        <v>Следующее ТО: Апрель 2027 г.</v>
      </c>
      <c r="B47" s="7"/>
      <c r="C47" s="13" t="str">
        <f ca="1">"Следующее ТО: " &amp; INDIRECT(ADDRESS(INT(ROUNDUP(((ROW())/6), 1)) + (2+'Исходная информация'!$N$2), 9, 1, 1, "Исходная информация")) &amp; " " &amp; INDIRECT(ADDRESS(INT(ROUNDUP(((ROW())/6), 1)) + (2+'Исходная информация'!$N$2), 6, 1, 1, "Исходная информация")) &amp; " г."</f>
        <v>Следующее ТО: Декабрь 2027 г.</v>
      </c>
      <c r="D47" s="20"/>
      <c r="E47" s="13" t="str">
        <f ca="1">"Следующее ТО: " &amp; INDIRECT(ADDRESS(INT(ROUNDUP(((ROW())/6), 1)) + (2+'Исходная информация'!$N$3), 9, 1, 1, "Исходная информация")) &amp; " " &amp; INDIRECT(ADDRESS(INT(ROUNDUP(((ROW())/6), 1)) + (2+'Исходная информация'!$N$3), 6, 1, 1, "Исходная информация")) &amp; " г."</f>
        <v>Следующее ТО: Апрель 2027 г.</v>
      </c>
      <c r="F47" s="10"/>
      <c r="G47" s="10"/>
      <c r="H47" s="10"/>
    </row>
    <row r="48" spans="1:8" s="19" customFormat="1" ht="19.5" customHeight="1" x14ac:dyDescent="0.25">
      <c r="A48" s="14" t="str">
        <f ca="1">"Инженер ОЭиРМО: " &amp; INDIRECT(ADDRESS(INT(ROUNDUP(((ROW())/6), 1)) + 2, 7, 1, 1, "Исходная информация"))</f>
        <v>Инженер ОЭиРМО: Данилова К.И.</v>
      </c>
      <c r="B48" s="15"/>
      <c r="C48" s="17" t="str">
        <f ca="1">"Инженер ОЭиРМО: " &amp; INDIRECT(ADDRESS(INT(ROUNDUP(((ROW())/6), 1)) + (2+'Исходная информация'!$N$2), 7, 1, 1, "Исходная информация"))</f>
        <v>Инженер ОЭиРМО: Данилова К.И.</v>
      </c>
      <c r="D48" s="21"/>
      <c r="E48" s="17" t="str">
        <f ca="1">"Инженер ОЭиРМО: " &amp; INDIRECT(ADDRESS(INT(ROUNDUP(((ROW())/6), 1)) + (2+'Исходная информация'!$N$3), 7, 1, 1, "Исходная информация"))</f>
        <v>Инженер ОЭиРМО: Данилова К.И.</v>
      </c>
      <c r="F48" s="18"/>
      <c r="G48" s="18"/>
      <c r="H48" s="18"/>
    </row>
    <row r="49" spans="1:8" x14ac:dyDescent="0.25">
      <c r="A49" s="10"/>
      <c r="B49" s="10"/>
      <c r="C49" s="10"/>
      <c r="D49" s="10"/>
      <c r="E49" s="10"/>
      <c r="F49" s="10"/>
      <c r="G49" s="10"/>
      <c r="H49" s="10"/>
    </row>
    <row r="50" spans="1:8" x14ac:dyDescent="0.25">
      <c r="A50" s="10"/>
      <c r="B50" s="10"/>
      <c r="C50" s="10"/>
      <c r="D50" s="10"/>
      <c r="E50" s="10"/>
      <c r="F50" s="10"/>
      <c r="G50" s="10"/>
      <c r="H50" s="10"/>
    </row>
    <row r="51" spans="1:8" x14ac:dyDescent="0.25">
      <c r="A51" s="10"/>
      <c r="B51" s="10"/>
      <c r="C51" s="10"/>
      <c r="D51" s="10"/>
      <c r="E51" s="10"/>
      <c r="F51" s="10"/>
      <c r="G51" s="10"/>
      <c r="H51" s="10"/>
    </row>
    <row r="52" spans="1:8" x14ac:dyDescent="0.25">
      <c r="A52" s="10"/>
      <c r="B52" s="10"/>
      <c r="C52" s="10"/>
      <c r="D52" s="10"/>
      <c r="E52" s="10"/>
      <c r="F52" s="10"/>
      <c r="G52" s="10"/>
      <c r="H52" s="10"/>
    </row>
    <row r="53" spans="1:8" x14ac:dyDescent="0.25">
      <c r="A53" s="10"/>
      <c r="B53" s="10"/>
      <c r="C53" s="10"/>
      <c r="D53" s="10"/>
      <c r="E53" s="10"/>
      <c r="F53" s="10"/>
      <c r="G53" s="10"/>
      <c r="H53" s="10"/>
    </row>
    <row r="54" spans="1:8" x14ac:dyDescent="0.25">
      <c r="A54" s="10"/>
      <c r="B54" s="10"/>
      <c r="C54" s="10"/>
      <c r="D54" s="10"/>
      <c r="E54" s="10"/>
      <c r="F54" s="10"/>
      <c r="G54" s="10"/>
      <c r="H54" s="10"/>
    </row>
  </sheetData>
  <printOptions horizontalCentered="1" verticalCentered="1"/>
  <pageMargins left="0" right="0" top="0" bottom="0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4"/>
  <sheetViews>
    <sheetView zoomScaleNormal="100" workbookViewId="0">
      <selection activeCell="E45" sqref="E45"/>
    </sheetView>
  </sheetViews>
  <sheetFormatPr defaultColWidth="8.140625" defaultRowHeight="15" x14ac:dyDescent="0.25"/>
  <cols>
    <col min="1" max="1" width="34.28515625" style="1" customWidth="1"/>
    <col min="2" max="2" width="2.85546875" style="1" customWidth="1"/>
    <col min="3" max="3" width="34.140625" style="22" customWidth="1"/>
    <col min="4" max="4" width="2" style="1" customWidth="1"/>
    <col min="5" max="5" width="33.42578125" style="22" customWidth="1"/>
  </cols>
  <sheetData>
    <row r="1" spans="1:8" s="1" customFormat="1" ht="21.75" customHeight="1" x14ac:dyDescent="0.25">
      <c r="A1" s="23" t="str">
        <f ca="1">"Наименование: " &amp; INDIRECT(ADDRESS(INT(ROUNDUP(((ROW())/6), 1)) + (2+'Исходная информация'!$N$4), 1, 1, 1, "Исходная информация"))</f>
        <v xml:space="preserve">Наименование: Облучатель-рециркулятор воздуха ультрафиолетовый бактерицидный настенный ОРУБн-3-5-«КРОНТ» (Дезар-5) </v>
      </c>
      <c r="B1" s="10"/>
      <c r="C1" s="6" t="str">
        <f ca="1">"Наименование: " &amp; INDIRECT(ADDRESS(INT(ROUNDUP(((ROW())/6), 1)) + (2+'Исходная информация'!$N$5), 1, 1, 1, "Исходная информация"))</f>
        <v xml:space="preserve">Наименование: Облучатель-рециркулятор воздуха ультрафиолетовый бактерицидный настенный ОРУБн-3-5-«КРОНТ» (Дезар-5) </v>
      </c>
      <c r="D1" s="7"/>
      <c r="E1" s="6" t="str">
        <f ca="1">"Наименование: " &amp; INDIRECT(ADDRESS(INT(ROUNDUP(((ROW())/6), 1)) + 2, 1, 1, 1, "Исходная информация"))</f>
        <v xml:space="preserve">Наименование: Облучатель-рециркулятор воздуха ультрафиолетовый бактерицидный настенный ОРУБн-3-5-«КРОНТ» (Дезар-5) </v>
      </c>
      <c r="F1" s="10"/>
      <c r="G1" s="10"/>
      <c r="H1" s="10"/>
    </row>
    <row r="2" spans="1:8" ht="15" customHeight="1" x14ac:dyDescent="0.25">
      <c r="A2" s="24" t="str">
        <f ca="1">"Инв. №: " &amp; INDIRECT(ADDRESS(INT(ROUNDUP(((ROW())/6), 1)) + (2+'Исходная информация'!$N$4), 2, 1, 1, "Исходная информация"))</f>
        <v>Инв. №: 21647</v>
      </c>
      <c r="B2" s="10"/>
      <c r="C2" s="11" t="str">
        <f ca="1">"Инв. №: " &amp; INDIRECT(ADDRESS(INT(ROUNDUP(((ROW())/6), 1)) + (2+'Исходная информация'!$N$5), 2, 1, 1, "Исходная информация"))</f>
        <v>Инв. №: 21647</v>
      </c>
      <c r="D2" s="7"/>
      <c r="E2" s="11" t="str">
        <f ca="1">"Инв. №: " &amp; INDIRECT(ADDRESS(INT(ROUNDUP(((ROW())/6), 1)) + 2, 2, 1, 1, "Исходная информация"))</f>
        <v>Инв. №: 21647</v>
      </c>
      <c r="F2" s="10"/>
      <c r="G2" s="10"/>
      <c r="H2" s="10"/>
    </row>
    <row r="3" spans="1:8" ht="15" customHeight="1" x14ac:dyDescent="0.25">
      <c r="A3" s="24" t="str">
        <f ca="1">"Периодичность ТО: " &amp; INDIRECT(ADDRESS(INT(ROUNDUP(((ROW())/6), 1)) + (2+'Исходная информация'!$N$4), 3, 1, 1, "Исходная информация"))</f>
        <v>Периодичность ТО: 12 мес</v>
      </c>
      <c r="B3" s="10"/>
      <c r="C3" s="11" t="str">
        <f ca="1">"Периодичность ТО: " &amp; INDIRECT(ADDRESS(INT(ROUNDUP(((ROW())/6), 1)) + (2+'Исходная информация'!$N$5), 3, 1, 1, "Исходная информация"))</f>
        <v>Периодичность ТО: 12 мес</v>
      </c>
      <c r="D3" s="7"/>
      <c r="E3" s="11" t="str">
        <f ca="1">"Периодичность ТО: " &amp; INDIRECT(ADDRESS(INT(ROUNDUP(((ROW())/6), 1)) + 2, 3, 1, 1, "Исходная информация"))</f>
        <v>Периодичность ТО: 12 мес</v>
      </c>
      <c r="F3" s="10"/>
      <c r="G3" s="10"/>
      <c r="H3" s="10"/>
    </row>
    <row r="4" spans="1:8" ht="15" customHeight="1" x14ac:dyDescent="0.25">
      <c r="A4" s="24" t="str">
        <f ca="1">"Проведено ТО: " &amp; INDIRECT(ADDRESS(INT(ROUNDUP(((ROW())/6), 1)) + (2+'Исходная информация'!$N$4), 4, 1, 1, "Исходная информация")) &amp; " " &amp; INDIRECT(ADDRESS(INT(ROUNDUP(((ROW())/6), 1)) + (2+'Исходная информация'!$N$4), 5, 1, 1, "Исходная информация")) &amp; " г."</f>
        <v>Проведено ТО: Июль 2026 г.</v>
      </c>
      <c r="B4" s="10"/>
      <c r="C4" s="11" t="str">
        <f ca="1">"Проведено ТО: " &amp; INDIRECT(ADDRESS(INT(ROUNDUP(((ROW())/6), 1)) + (2+'Исходная информация'!$N$5), 4, 1, 1, "Исходная информация")) &amp; " " &amp; INDIRECT(ADDRESS(INT(ROUNDUP(((ROW())/6), 1)) + (2+'Исходная информация'!$N$5), 5, 1, 1, "Исходная информация")) &amp; " г."</f>
        <v>Проведено ТО: Июль 2026 г.</v>
      </c>
      <c r="D4" s="7"/>
      <c r="E4" s="11" t="str">
        <f ca="1">"Проведено ТО: " &amp; INDIRECT(ADDRESS(INT(ROUNDUP(((ROW())/6), 1)) + 2, 4, 1, 1, "Исходная информация")) &amp; " " &amp; INDIRECT(ADDRESS(INT(ROUNDUP(((ROW())/6), 1)) + 2, 5, 1, 1, "Исходная информация")) &amp; " г."</f>
        <v>Проведено ТО: Июль 2026 г.</v>
      </c>
      <c r="F4" s="10"/>
      <c r="G4" s="10"/>
      <c r="H4" s="10"/>
    </row>
    <row r="5" spans="1:8" ht="15" customHeight="1" x14ac:dyDescent="0.25">
      <c r="A5" s="24" t="str">
        <f ca="1">"Следующее ТО: " &amp; INDIRECT(ADDRESS(INT(ROUNDUP(((ROW())/6), 1)) + (2+'Исходная информация'!$N$4), 9, 1, 1, "Исходная информация")) &amp; " " &amp; INDIRECT(ADDRESS(INT(ROUNDUP(((ROW())/6), 1)) + (2+'Исходная информация'!$N$4), 6, 1, 1, "Исходная информация")) &amp; " г."</f>
        <v>Следующее ТО: Сентябрь 2027 г.</v>
      </c>
      <c r="B5" s="10"/>
      <c r="C5" s="11" t="str">
        <f ca="1">"Следующее ТО: " &amp; INDIRECT(ADDRESS(INT(ROUNDUP(((ROW())/6), 1)) + (2+'Исходная информация'!$N$5), 9, 1, 1, "Исходная информация")) &amp; " " &amp; INDIRECT(ADDRESS(INT(ROUNDUP(((ROW())/6), 1)) + (2+'Исходная информация'!$N$5), 6, 1, 1, "Исходная информация")) &amp; " г."</f>
        <v>Следующее ТО: Сентябрь 2027 г.</v>
      </c>
      <c r="D5" s="7"/>
      <c r="E5" s="11" t="str">
        <f ca="1">"Следующее ТО: " &amp; INDIRECT(ADDRESS(INT(ROUNDUP(((ROW())/6), 1)) + 2, 9, 1, 1, "Исходная информация")) &amp; " " &amp; INDIRECT(ADDRESS(INT(ROUNDUP(((ROW())/6), 1)) + 2, 6, 1, 1, "Исходная информация")) &amp; " г."</f>
        <v>Следующее ТО: Сентябрь 2027 г.</v>
      </c>
      <c r="F5" s="10"/>
      <c r="G5" s="10"/>
      <c r="H5" s="10"/>
    </row>
    <row r="6" spans="1:8" s="19" customFormat="1" ht="25.5" customHeight="1" x14ac:dyDescent="0.25">
      <c r="A6" s="25" t="str">
        <f ca="1">"Инженер ОЭиРМО: " &amp; INDIRECT(ADDRESS(INT(ROUNDUP(((ROW())/6), 1)) + (2+'Исходная информация'!$N$4), 7, 1, 1, "Исходная информация"))</f>
        <v>Инженер ОЭиРМО: Данилова К.И.</v>
      </c>
      <c r="B6" s="18"/>
      <c r="C6" s="14" t="str">
        <f ca="1">"Инженер ОЭиРМО: " &amp; INDIRECT(ADDRESS(INT(ROUNDUP(((ROW())/6), 1)) + (2+'Исходная информация'!$N$5), 7, 1, 1, "Исходная информация"))</f>
        <v>Инженер ОЭиРМО: Данилова К.И.</v>
      </c>
      <c r="D6" s="15"/>
      <c r="E6" s="14" t="str">
        <f ca="1">"Инженер ОЭиРМО: " &amp; INDIRECT(ADDRESS(INT(ROUNDUP(((ROW())/6), 1)) + 2, 7, 1, 1, "Исходная информация"))</f>
        <v>Инженер ОЭиРМО: Данилова К.И.</v>
      </c>
      <c r="F6" s="18"/>
      <c r="G6" s="18"/>
      <c r="H6" s="18"/>
    </row>
    <row r="7" spans="1:8" s="1" customFormat="1" ht="30.75" customHeight="1" x14ac:dyDescent="0.25">
      <c r="A7" s="23" t="str">
        <f ca="1">"Наименование: " &amp; INDIRECT(ADDRESS(INT(ROUNDUP(((ROW())/6), 1)) + (2+'Исходная информация'!$N$4), 1, 1, 1, "Исходная информация"))</f>
        <v xml:space="preserve">Наименование: Облучатель-рециркулятор воздуха ультрафиолетовый бактерицидный настенный ОРУБн-3-5-«КРОНТ» (Дезар-5) </v>
      </c>
      <c r="B7" s="10"/>
      <c r="C7" s="6" t="str">
        <f ca="1">"Наименование: " &amp; INDIRECT(ADDRESS(INT(ROUNDUP(((ROW())/6), 1)) + (2+'Исходная информация'!$N$5), 1, 1, 1, "Исходная информация"))</f>
        <v xml:space="preserve">Наименование: Облучатель-рециркулятор воздуха ультрафиолетовый бактерицидный настенный ОРУБн-3-5-«КРОНТ» (Дезар-5) </v>
      </c>
      <c r="D7" s="7"/>
      <c r="E7" s="6" t="str">
        <f ca="1">"Наименование: " &amp; INDIRECT(ADDRESS(INT(ROUNDUP(((ROW())/6), 1)) + (2+'Исходная информация'!$N$4), 1, 1, 1, "Исходная информация"))</f>
        <v xml:space="preserve">Наименование: Облучатель-рециркулятор воздуха ультрафиолетовый бактерицидный настенный ОРУБн-3-5-«КРОНТ» (Дезар-5) </v>
      </c>
      <c r="F7" s="10"/>
      <c r="G7" s="10"/>
      <c r="H7" s="10"/>
    </row>
    <row r="8" spans="1:8" ht="13.5" customHeight="1" x14ac:dyDescent="0.25">
      <c r="A8" s="24" t="str">
        <f ca="1">"Инв. №: " &amp; INDIRECT(ADDRESS(INT(ROUNDUP(((ROW())/6), 1)) + (2+'Исходная информация'!$N$4), 2, 1, 1, "Исходная информация"))</f>
        <v>Инв. №: 21648</v>
      </c>
      <c r="B8" s="10"/>
      <c r="C8" s="11" t="str">
        <f ca="1">"Инв. №: " &amp; INDIRECT(ADDRESS(INT(ROUNDUP(((ROW())/6), 1)) + (2+'Исходная информация'!$N$5), 2, 1, 1, "Исходная информация"))</f>
        <v>Инв. №: 21648</v>
      </c>
      <c r="D8" s="7"/>
      <c r="E8" s="11" t="str">
        <f ca="1">"Инв. №: " &amp; INDIRECT(ADDRESS(INT(ROUNDUP(((ROW())/6), 1)) + (2+'Исходная информация'!$N$4), 2, 1, 1, "Исходная информация"))</f>
        <v>Инв. №: 21648</v>
      </c>
      <c r="F8" s="10"/>
      <c r="G8" s="10"/>
      <c r="H8" s="10"/>
    </row>
    <row r="9" spans="1:8" ht="13.5" customHeight="1" x14ac:dyDescent="0.25">
      <c r="A9" s="24" t="str">
        <f ca="1">"Периодичность ТО: " &amp; INDIRECT(ADDRESS(INT(ROUNDUP(((ROW())/6), 1)) + (2+'Исходная информация'!$N$4), 3, 1, 1, "Исходная информация"))</f>
        <v>Периодичность ТО: 12 мес</v>
      </c>
      <c r="B9" s="10"/>
      <c r="C9" s="11" t="str">
        <f ca="1">"Периодичность ТО: " &amp; INDIRECT(ADDRESS(INT(ROUNDUP(((ROW())/6), 1)) + (2+'Исходная информация'!$N$5), 3, 1, 1, "Исходная информация"))</f>
        <v>Периодичность ТО: 12 мес</v>
      </c>
      <c r="D9" s="7"/>
      <c r="E9" s="11" t="str">
        <f ca="1">"Периодичность ТО: " &amp; INDIRECT(ADDRESS(INT(ROUNDUP(((ROW())/6), 1)) + (2+'Исходная информация'!$N$4), 3, 1, 1, "Исходная информация"))</f>
        <v>Периодичность ТО: 12 мес</v>
      </c>
      <c r="F9" s="10"/>
      <c r="G9" s="10"/>
      <c r="H9" s="10"/>
    </row>
    <row r="10" spans="1:8" ht="13.5" customHeight="1" x14ac:dyDescent="0.25">
      <c r="A10" s="24" t="str">
        <f ca="1">"Проведено ТО: " &amp; INDIRECT(ADDRESS(INT(ROUNDUP(((ROW())/6), 1)) + (2+'Исходная информация'!$N$4), 4, 1, 1, "Исходная информация")) &amp; " " &amp; INDIRECT(ADDRESS(INT(ROUNDUP(((ROW())/6), 1)) + (2+'Исходная информация'!$N$4), 5, 1, 1, "Исходная информация")) &amp; " г."</f>
        <v>Проведено ТО: Июль 2026 г.</v>
      </c>
      <c r="B10" s="10"/>
      <c r="C10" s="11" t="str">
        <f ca="1">"Проведено ТО: " &amp; INDIRECT(ADDRESS(INT(ROUNDUP(((ROW())/6), 1)) + (2+'Исходная информация'!$N$5), 4, 1, 1, "Исходная информация")) &amp; " " &amp; INDIRECT(ADDRESS(INT(ROUNDUP(((ROW())/6), 1)) + (2+'Исходная информация'!$N$5), 5, 1, 1, "Исходная информация")) &amp; " г."</f>
        <v>Проведено ТО: Июль 2026 г.</v>
      </c>
      <c r="D10" s="7"/>
      <c r="E10" s="11" t="str">
        <f ca="1">"Проведено ТО: " &amp; INDIRECT(ADDRESS(INT(ROUNDUP(((ROW())/6), 1)) + (2+'Исходная информация'!$N$4), 4, 1, 1, "Исходная информация")) &amp; " " &amp; INDIRECT(ADDRESS(INT(ROUNDUP(((ROW())/6), 1)) + (2+'Исходная информация'!$N$4), 5, 1, 1, "Исходная информация")) &amp; " г."</f>
        <v>Проведено ТО: Июль 2026 г.</v>
      </c>
      <c r="F10" s="10"/>
      <c r="G10" s="10"/>
      <c r="H10" s="10"/>
    </row>
    <row r="11" spans="1:8" ht="13.5" customHeight="1" x14ac:dyDescent="0.25">
      <c r="A11" s="24" t="str">
        <f ca="1">"Следующее ТО: " &amp; INDIRECT(ADDRESS(INT(ROUNDUP(((ROW())/6), 1)) + (2+'Исходная информация'!$N$4), 9, 1, 1, "Исходная информация")) &amp; " " &amp; INDIRECT(ADDRESS(INT(ROUNDUP(((ROW())/6), 1)) + (2+'Исходная информация'!$N$4), 6, 1, 1, "Исходная информация")) &amp; " г."</f>
        <v>Следующее ТО: Октябрь 2027 г.</v>
      </c>
      <c r="B11" s="10"/>
      <c r="C11" s="11" t="str">
        <f ca="1">"Следующее ТО: " &amp; INDIRECT(ADDRESS(INT(ROUNDUP(((ROW())/6), 1)) + (2+'Исходная информация'!$N$5), 9, 1, 1, "Исходная информация")) &amp; " " &amp; INDIRECT(ADDRESS(INT(ROUNDUP(((ROW())/6), 1)) + (2+'Исходная информация'!$N$5), 6, 1, 1, "Исходная информация")) &amp; " г."</f>
        <v>Следующее ТО: Октябрь 2027 г.</v>
      </c>
      <c r="D11" s="7"/>
      <c r="E11" s="11" t="str">
        <f ca="1">"Следующее ТО: " &amp; INDIRECT(ADDRESS(INT(ROUNDUP(((ROW())/6), 1)) + (2+'Исходная информация'!$N$4), 4, 1, 1, "Исходная информация")) &amp; " " &amp; INDIRECT(ADDRESS(INT(ROUNDUP(((ROW())/6), 1)) + (2+'Исходная информация'!$N$4), 6, 1, 1, "Исходная информация")) &amp; " г."</f>
        <v>Следующее ТО: Июль 2027 г.</v>
      </c>
      <c r="F11" s="10"/>
      <c r="G11" s="10"/>
      <c r="H11" s="10"/>
    </row>
    <row r="12" spans="1:8" s="19" customFormat="1" ht="15.75" customHeight="1" x14ac:dyDescent="0.25">
      <c r="A12" s="25" t="str">
        <f ca="1">"Инженер ОЭиРМО: " &amp; INDIRECT(ADDRESS(INT(ROUNDUP(((ROW())/6), 1)) + (2+'Исходная информация'!$N$4), 7, 1, 1, "Исходная информация"))</f>
        <v>Инженер ОЭиРМО: Данилова К.И.</v>
      </c>
      <c r="B12" s="18"/>
      <c r="C12" s="14" t="str">
        <f ca="1">"Инженер ОЭиРМО: " &amp; INDIRECT(ADDRESS(INT(ROUNDUP(((ROW())/6), 1)) + (2+'Исходная информация'!$N$5), 7, 1, 1, "Исходная информация"))</f>
        <v>Инженер ОЭиРМО: Данилова К.И.</v>
      </c>
      <c r="D12" s="15"/>
      <c r="E12" s="14" t="str">
        <f ca="1">"Инженер ОЭиРМО: " &amp; INDIRECT(ADDRESS(INT(ROUNDUP(((ROW())/6), 1)) + (2+'Исходная информация'!$N$4), 7, 1, 1, "Исходная информация"))</f>
        <v>Инженер ОЭиРМО: Данилова К.И.</v>
      </c>
      <c r="F12" s="18"/>
      <c r="G12" s="18"/>
      <c r="H12" s="18"/>
    </row>
    <row r="13" spans="1:8" ht="38.25" customHeight="1" x14ac:dyDescent="0.25">
      <c r="A13" s="23" t="str">
        <f ca="1">"Наименование: " &amp; INDIRECT(ADDRESS(INT(ROUNDUP(((ROW())/6), 1)) + (2+'Исходная информация'!$N$4), 1, 1, 1, "Исходная информация"))</f>
        <v xml:space="preserve">Наименование: Облучатель-рециркулятор воздуха ультрафиолетовый бактерицидный настенный ОРУБн-3-5-«КРОНТ» (Дезар-5) </v>
      </c>
      <c r="B13" s="10"/>
      <c r="C13" s="6" t="str">
        <f ca="1">"Наименование: " &amp; INDIRECT(ADDRESS(INT(ROUNDUP(((ROW())/6), 1)) + (2+'Исходная информация'!$N$4), 1, 1, 1, "Исходная информация"))</f>
        <v xml:space="preserve">Наименование: Облучатель-рециркулятор воздуха ультрафиолетовый бактерицидный настенный ОРУБн-3-5-«КРОНТ» (Дезар-5) </v>
      </c>
      <c r="D13" s="7"/>
      <c r="E13" s="6" t="str">
        <f ca="1">"Наименование: " &amp; INDIRECT(ADDRESS(INT(ROUNDUP(((ROW())/6), 1)) + (2+'Исходная информация'!$N$4), 1, 1, 1, "Исходная информация"))</f>
        <v xml:space="preserve">Наименование: Облучатель-рециркулятор воздуха ультрафиолетовый бактерицидный настенный ОРУБн-3-5-«КРОНТ» (Дезар-5) </v>
      </c>
      <c r="F13" s="10"/>
      <c r="G13" s="10"/>
      <c r="H13" s="10"/>
    </row>
    <row r="14" spans="1:8" ht="13.5" customHeight="1" x14ac:dyDescent="0.25">
      <c r="A14" s="24" t="str">
        <f ca="1">"Инв. №: " &amp; INDIRECT(ADDRESS(INT(ROUNDUP(((ROW())/6), 1)) + (2+'Исходная информация'!$N$4), 2, 1, 1, "Исходная информация"))</f>
        <v>Инв. №: 21649</v>
      </c>
      <c r="B14" s="10"/>
      <c r="C14" s="11" t="str">
        <f ca="1">"Инв. №: " &amp; INDIRECT(ADDRESS(INT(ROUNDUP(((ROW())/6), 1)) + (2+'Исходная информация'!$N$4), 2, 1, 1, "Исходная информация"))</f>
        <v>Инв. №: 21649</v>
      </c>
      <c r="D14" s="7"/>
      <c r="E14" s="11" t="str">
        <f ca="1">"Инв. №: " &amp; INDIRECT(ADDRESS(INT(ROUNDUP(((ROW())/6), 1)) + (2+'Исходная информация'!$N$4), 2, 1, 1, "Исходная информация"))</f>
        <v>Инв. №: 21649</v>
      </c>
      <c r="F14" s="10"/>
      <c r="G14" s="10"/>
      <c r="H14" s="10"/>
    </row>
    <row r="15" spans="1:8" ht="13.5" customHeight="1" x14ac:dyDescent="0.25">
      <c r="A15" s="24" t="str">
        <f ca="1">"Периодичность ТО: " &amp; INDIRECT(ADDRESS(INT(ROUNDUP(((ROW())/6), 1)) + (2+'Исходная информация'!$N$4), 3, 1, 1, "Исходная информация"))</f>
        <v>Периодичность ТО: 12 мес</v>
      </c>
      <c r="B15" s="10"/>
      <c r="C15" s="11" t="str">
        <f ca="1">"Периодичность ТО: " &amp; INDIRECT(ADDRESS(INT(ROUNDUP(((ROW())/6), 1)) + (2+'Исходная информация'!$N$4), 3, 1, 1, "Исходная информация"))</f>
        <v>Периодичность ТО: 12 мес</v>
      </c>
      <c r="D15" s="7"/>
      <c r="E15" s="11" t="str">
        <f ca="1">"Периодичность ТО: " &amp; INDIRECT(ADDRESS(INT(ROUNDUP(((ROW())/6), 1)) + (2+'Исходная информация'!$N$4), 3, 1, 1, "Исходная информация"))</f>
        <v>Периодичность ТО: 12 мес</v>
      </c>
      <c r="F15" s="10"/>
      <c r="G15" s="10"/>
      <c r="H15" s="10"/>
    </row>
    <row r="16" spans="1:8" ht="13.5" customHeight="1" x14ac:dyDescent="0.25">
      <c r="A16" s="24" t="str">
        <f ca="1">"Проведено ТО: " &amp; INDIRECT(ADDRESS(INT(ROUNDUP(((ROW())/6), 1)) + (2+'Исходная информация'!$N$4), 4, 1, 1, "Исходная информация")) &amp; " " &amp; INDIRECT(ADDRESS(INT(ROUNDUP(((ROW())/6), 1)) + (2+'Исходная информация'!$N$4), 5, 1, 1, "Исходная информация")) &amp; " г."</f>
        <v>Проведено ТО: Июль 2026 г.</v>
      </c>
      <c r="B16" s="10"/>
      <c r="C16" s="11" t="str">
        <f ca="1">"Проведено ТО: " &amp; INDIRECT(ADDRESS(INT(ROUNDUP(((ROW())/6), 1)) + (2+'Исходная информация'!$N$4), 4, 1, 1, "Исходная информация")) &amp; " " &amp; INDIRECT(ADDRESS(INT(ROUNDUP(((ROW())/6), 1)) + (2+'Исходная информация'!$N$4), 5, 1, 1, "Исходная информация")) &amp; " г."</f>
        <v>Проведено ТО: Июль 2026 г.</v>
      </c>
      <c r="D16" s="7"/>
      <c r="E16" s="11" t="str">
        <f ca="1">"Проведено ТО: " &amp; INDIRECT(ADDRESS(INT(ROUNDUP(((ROW())/6), 1)) + (2+'Исходная информация'!$N$4), 4, 1, 1, "Исходная информация")) &amp; " " &amp; INDIRECT(ADDRESS(INT(ROUNDUP(((ROW())/6), 1)) + (2+'Исходная информация'!$N$4), 5, 1, 1, "Исходная информация")) &amp; " г."</f>
        <v>Проведено ТО: Июль 2026 г.</v>
      </c>
      <c r="F16" s="10"/>
      <c r="G16" s="10"/>
      <c r="H16" s="10"/>
    </row>
    <row r="17" spans="1:8" ht="13.5" customHeight="1" x14ac:dyDescent="0.25">
      <c r="A17" s="24" t="str">
        <f ca="1">"Следующее ТО: " &amp; INDIRECT(ADDRESS(INT(ROUNDUP(((ROW())/6), 1)) + (2+'Исходная информация'!$N$4), 9, 1, 1, "Исходная информация")) &amp; " " &amp; INDIRECT(ADDRESS(INT(ROUNDUP(((ROW())/6), 1)) + (2+'Исходная информация'!$N$4), 6, 1, 1, "Исходная информация")) &amp; " г."</f>
        <v>Следующее ТО: Ноябрь 2027 г.</v>
      </c>
      <c r="B17" s="10"/>
      <c r="C17" s="11" t="str">
        <f ca="1">"Следующее ТО: " &amp; INDIRECT(ADDRESS(INT(ROUNDUP(((ROW())/6), 1)) + (2+'Исходная информация'!$N$4), 9, 1, 1, "Исходная информация")) &amp; " " &amp; INDIRECT(ADDRESS(INT(ROUNDUP(((ROW())/6), 1)) + (2+'Исходная информация'!$N$4), 6, 1, 1, "Исходная информация")) &amp; " г."</f>
        <v>Следующее ТО: Ноябрь 2027 г.</v>
      </c>
      <c r="D17" s="7"/>
      <c r="E17" s="11" t="str">
        <f ca="1">"Следующее ТО: " &amp; INDIRECT(ADDRESS(INT(ROUNDUP(((ROW())/6), 1)) + (2+'Исходная информация'!$N$4), 4, 1, 1, "Исходная информация")) &amp; " " &amp; INDIRECT(ADDRESS(INT(ROUNDUP(((ROW())/6), 1)) + (2+'Исходная информация'!$N$4), 6, 1, 1, "Исходная информация")) &amp; " г."</f>
        <v>Следующее ТО: Июль 2027 г.</v>
      </c>
      <c r="F17" s="10"/>
      <c r="G17" s="10"/>
      <c r="H17" s="10"/>
    </row>
    <row r="18" spans="1:8" s="19" customFormat="1" ht="27" customHeight="1" x14ac:dyDescent="0.25">
      <c r="A18" s="25" t="str">
        <f ca="1">"Инженер ОЭиРМО: " &amp; INDIRECT(ADDRESS(INT(ROUNDUP(((ROW())/6), 1)) + (2+'Исходная информация'!$N$4), 7, 1, 1, "Исходная информация"))</f>
        <v>Инженер ОЭиРМО: Данилова К.И.</v>
      </c>
      <c r="B18" s="18"/>
      <c r="C18" s="14" t="str">
        <f ca="1">"Инженер ОЭиРМО: " &amp; INDIRECT(ADDRESS(INT(ROUNDUP(((ROW())/6), 1)) + (2+'Исходная информация'!$N$4), 7, 1, 1, "Исходная информация"))</f>
        <v>Инженер ОЭиРМО: Данилова К.И.</v>
      </c>
      <c r="D18" s="15"/>
      <c r="E18" s="14" t="str">
        <f ca="1">"Инженер ОЭиРМО: " &amp; INDIRECT(ADDRESS(INT(ROUNDUP(((ROW())/6), 1)) + (2+'Исходная информация'!$N$4), 7, 1, 1, "Исходная информация"))</f>
        <v>Инженер ОЭиРМО: Данилова К.И.</v>
      </c>
      <c r="F18" s="18"/>
      <c r="G18" s="18"/>
      <c r="H18" s="18"/>
    </row>
    <row r="19" spans="1:8" s="1" customFormat="1" ht="30.75" customHeight="1" x14ac:dyDescent="0.25">
      <c r="A19" s="23" t="str">
        <f ca="1">"Наименование: " &amp; INDIRECT(ADDRESS(INT(ROUNDUP(((ROW())/6), 1)) + (2+'Исходная информация'!$N$4), 1, 1, 1, "Исходная информация"))</f>
        <v xml:space="preserve">Наименование: Стол операционный с принадлежностями HY Base 3000.
"Нанджин Миндрей Био-Медикал Электроникс Ко., Лтд." </v>
      </c>
      <c r="B19" s="10"/>
      <c r="C19" s="6" t="str">
        <f ca="1">"Наименование: " &amp; INDIRECT(ADDRESS(INT(ROUNDUP(((ROW())/6), 1)) + (2+'Исходная информация'!$N$4), 1, 1, 1, "Исходная информация"))</f>
        <v xml:space="preserve">Наименование: Стол операционный с принадлежностями HY Base 3000.
"Нанджин Миндрей Био-Медикал Электроникс Ко., Лтд." </v>
      </c>
      <c r="D19" s="7"/>
      <c r="E19" s="6" t="str">
        <f ca="1">"Наименование: " &amp; INDIRECT(ADDRESS(INT(ROUNDUP(((ROW())/6), 1)) + (2+'Исходная информация'!$N$4), 1, 1, 1, "Исходная информация"))</f>
        <v xml:space="preserve">Наименование: Стол операционный с принадлежностями HY Base 3000.
"Нанджин Миндрей Био-Медикал Электроникс Ко., Лтд." </v>
      </c>
      <c r="F19" s="10"/>
      <c r="G19" s="10"/>
      <c r="H19" s="10"/>
    </row>
    <row r="20" spans="1:8" ht="13.5" customHeight="1" x14ac:dyDescent="0.25">
      <c r="A20" s="24" t="str">
        <f ca="1">"Инв. №: " &amp; INDIRECT(ADDRESS(INT(ROUNDUP(((ROW())/6), 1)) + (2+'Исходная информация'!$N$4), 2, 1, 1, "Исходная информация"))</f>
        <v>Инв. №: 16917</v>
      </c>
      <c r="B20" s="10"/>
      <c r="C20" s="11" t="str">
        <f ca="1">"Инв. №: " &amp; INDIRECT(ADDRESS(INT(ROUNDUP(((ROW())/6), 1)) + (2+'Исходная информация'!$N$4), 2, 1, 1, "Исходная информация"))</f>
        <v>Инв. №: 16917</v>
      </c>
      <c r="D20" s="7"/>
      <c r="E20" s="11" t="str">
        <f ca="1">"Инв. №: " &amp; INDIRECT(ADDRESS(INT(ROUNDUP(((ROW())/6), 1)) + (2+'Исходная информация'!$N$4), 2, 1, 1, "Исходная информация"))</f>
        <v>Инв. №: 16917</v>
      </c>
      <c r="F20" s="10"/>
      <c r="G20" s="10"/>
      <c r="H20" s="10"/>
    </row>
    <row r="21" spans="1:8" ht="13.5" customHeight="1" x14ac:dyDescent="0.25">
      <c r="A21" s="24" t="str">
        <f ca="1">"Периодичность ТО: " &amp; INDIRECT(ADDRESS(INT(ROUNDUP(((ROW())/6), 1)) + (2+'Исходная информация'!$N$4), 3, 1, 1, "Исходная информация"))</f>
        <v>Периодичность ТО: 12 мес</v>
      </c>
      <c r="B21" s="10"/>
      <c r="C21" s="11" t="str">
        <f ca="1">"Периодичность ТО: " &amp; INDIRECT(ADDRESS(INT(ROUNDUP(((ROW())/6), 1)) + (2+'Исходная информация'!$N$4), 3, 1, 1, "Исходная информация"))</f>
        <v>Периодичность ТО: 12 мес</v>
      </c>
      <c r="D21" s="7"/>
      <c r="E21" s="11" t="str">
        <f ca="1">"Периодичность ТО: " &amp; INDIRECT(ADDRESS(INT(ROUNDUP(((ROW())/6), 1)) + (2+'Исходная информация'!$N$4), 3, 1, 1, "Исходная информация"))</f>
        <v>Периодичность ТО: 12 мес</v>
      </c>
      <c r="F21" s="10"/>
      <c r="G21" s="10"/>
      <c r="H21" s="10"/>
    </row>
    <row r="22" spans="1:8" ht="13.5" customHeight="1" x14ac:dyDescent="0.25">
      <c r="A22" s="24" t="str">
        <f ca="1">"Проведено ТО: " &amp; INDIRECT(ADDRESS(INT(ROUNDUP(((ROW())/6), 1)) + (2+'Исходная информация'!$N$4), 4, 1, 1, "Исходная информация")) &amp; " " &amp; INDIRECT(ADDRESS(INT(ROUNDUP(((ROW())/6), 1)) + (2+'Исходная информация'!$N$4), 5, 1, 1, "Исходная информация")) &amp; " г."</f>
        <v>Проведено ТО: Июль 2026 г.</v>
      </c>
      <c r="B22" s="10"/>
      <c r="C22" s="11" t="str">
        <f ca="1">"Проведено ТО: " &amp; INDIRECT(ADDRESS(INT(ROUNDUP(((ROW())/6), 1)) + (2+'Исходная информация'!$N$4), 4, 1, 1, "Исходная информация")) &amp; " " &amp; INDIRECT(ADDRESS(INT(ROUNDUP(((ROW())/6), 1)) + (2+'Исходная информация'!$N$4), 5, 1, 1, "Исходная информация")) &amp; " г."</f>
        <v>Проведено ТО: Июль 2026 г.</v>
      </c>
      <c r="D22" s="7"/>
      <c r="E22" s="11" t="str">
        <f ca="1">"Проведено ТО: " &amp; INDIRECT(ADDRESS(INT(ROUNDUP(((ROW())/6), 1)) + (2+'Исходная информация'!$N$4), 4, 1, 1, "Исходная информация")) &amp; " " &amp; INDIRECT(ADDRESS(INT(ROUNDUP(((ROW())/6), 1)) + (2+'Исходная информация'!$N$4), 5, 1, 1, "Исходная информация")) &amp; " г."</f>
        <v>Проведено ТО: Июль 2026 г.</v>
      </c>
      <c r="F22" s="10"/>
      <c r="G22" s="10"/>
      <c r="H22" s="10"/>
    </row>
    <row r="23" spans="1:8" ht="13.5" customHeight="1" x14ac:dyDescent="0.25">
      <c r="A23" s="24" t="str">
        <f ca="1">"Следующее ТО: " &amp; INDIRECT(ADDRESS(INT(ROUNDUP(((ROW())/6), 1)) + (2+'Исходная информация'!$N$4), 9, 1, 1, "Исходная информация")) &amp; " " &amp; INDIRECT(ADDRESS(INT(ROUNDUP(((ROW())/6), 1)) + (2+'Исходная информация'!$N$4), 6, 1, 1, "Исходная информация")) &amp; " г."</f>
        <v>Следующее ТО: Декабрь 2027 г.</v>
      </c>
      <c r="B23" s="10"/>
      <c r="C23" s="11" t="str">
        <f ca="1">"Следующее ТО: " &amp; INDIRECT(ADDRESS(INT(ROUNDUP(((ROW())/6), 1)) + (2+'Исходная информация'!$N$4), 9, 1, 1, "Исходная информация")) &amp; " " &amp; INDIRECT(ADDRESS(INT(ROUNDUP(((ROW())/6), 1)) + (2+'Исходная информация'!$N$4), 6, 1, 1, "Исходная информация")) &amp; " г."</f>
        <v>Следующее ТО: Декабрь 2027 г.</v>
      </c>
      <c r="D23" s="7"/>
      <c r="E23" s="11" t="str">
        <f ca="1">"Следующее ТО: " &amp; INDIRECT(ADDRESS(INT(ROUNDUP(((ROW())/6), 1)) + (2+'Исходная информация'!$N$4), 4, 1, 1, "Исходная информация")) &amp; " " &amp; INDIRECT(ADDRESS(INT(ROUNDUP(((ROW())/6), 1)) + (2+'Исходная информация'!$N$4), 6, 1, 1, "Исходная информация")) &amp; " г."</f>
        <v>Следующее ТО: Июль 2027 г.</v>
      </c>
      <c r="F23" s="10"/>
      <c r="G23" s="10"/>
      <c r="H23" s="10"/>
    </row>
    <row r="24" spans="1:8" s="19" customFormat="1" ht="24" customHeight="1" x14ac:dyDescent="0.25">
      <c r="A24" s="25" t="str">
        <f ca="1">"Инженер ОЭиРМО: " &amp; INDIRECT(ADDRESS(INT(ROUNDUP(((ROW())/6), 1)) + (2+'Исходная информация'!$N$4), 7, 1, 1, "Исходная информация"))</f>
        <v>Инженер ОЭиРМО: Данилова К.И.</v>
      </c>
      <c r="B24" s="18"/>
      <c r="C24" s="14" t="str">
        <f ca="1">"Инженер ОЭиРМО: " &amp; INDIRECT(ADDRESS(INT(ROUNDUP(((ROW())/6), 1)) + (2+'Исходная информация'!$N$4), 7, 1, 1, "Исходная информация"))</f>
        <v>Инженер ОЭиРМО: Данилова К.И.</v>
      </c>
      <c r="D24" s="15"/>
      <c r="E24" s="14" t="str">
        <f ca="1">"Инженер ОЭиРМО: " &amp; INDIRECT(ADDRESS(INT(ROUNDUP(((ROW())/6), 1)) + (2+'Исходная информация'!$N$4), 7, 1, 1, "Исходная информация"))</f>
        <v>Инженер ОЭиРМО: Данилова К.И.</v>
      </c>
      <c r="F24" s="18"/>
      <c r="G24" s="18"/>
      <c r="H24" s="18"/>
    </row>
    <row r="25" spans="1:8" s="1" customFormat="1" ht="37.5" customHeight="1" x14ac:dyDescent="0.25">
      <c r="A25" s="23" t="str">
        <f ca="1">"Наименование: " &amp; INDIRECT(ADDRESS(INT(ROUNDUP(((ROW())/6), 1)) + (2+'Исходная информация'!$N$4), 1, 1, 1, "Исходная информация"))</f>
        <v xml:space="preserve">Наименование: Стол операционный с принадлежностями HY Base 3000.
"Нанджин Миндрей Био-Медикал Электроникс Ко., Лтд." </v>
      </c>
      <c r="B25" s="10"/>
      <c r="C25" s="6" t="str">
        <f ca="1">"Наименование: " &amp; INDIRECT(ADDRESS(INT(ROUNDUP(((ROW())/6), 1)) + (2+'Исходная информация'!$N$4), 1, 1, 1, "Исходная информация"))</f>
        <v xml:space="preserve">Наименование: Стол операционный с принадлежностями HY Base 3000.
"Нанджин Миндрей Био-Медикал Электроникс Ко., Лтд." </v>
      </c>
      <c r="D25" s="7"/>
      <c r="E25" s="6" t="str">
        <f ca="1">"Наименование: " &amp; INDIRECT(ADDRESS(INT(ROUNDUP(((ROW())/6), 1)) + (2+'Исходная информация'!$N$4), 1, 1, 1, "Исходная информация"))</f>
        <v xml:space="preserve">Наименование: Стол операционный с принадлежностями HY Base 3000.
"Нанджин Миндрей Био-Медикал Электроникс Ко., Лтд." </v>
      </c>
      <c r="F25" s="10"/>
      <c r="G25" s="10"/>
      <c r="H25" s="10"/>
    </row>
    <row r="26" spans="1:8" ht="13.5" customHeight="1" x14ac:dyDescent="0.25">
      <c r="A26" s="24" t="str">
        <f ca="1">"Инв. №: " &amp; INDIRECT(ADDRESS(INT(ROUNDUP(((ROW())/6), 1)) + (2+'Исходная информация'!$N$4), 2, 1, 1, "Исходная информация"))</f>
        <v>Инв. №: 16918</v>
      </c>
      <c r="B26" s="10"/>
      <c r="C26" s="11" t="str">
        <f ca="1">"Инв. №: " &amp; INDIRECT(ADDRESS(INT(ROUNDUP(((ROW())/6), 1)) + (2+'Исходная информация'!$N$4), 2, 1, 1, "Исходная информация"))</f>
        <v>Инв. №: 16918</v>
      </c>
      <c r="D26" s="7"/>
      <c r="E26" s="11" t="str">
        <f ca="1">"Инв. №: " &amp; INDIRECT(ADDRESS(INT(ROUNDUP(((ROW())/6), 1)) + (2+'Исходная информация'!$N$4), 2, 1, 1, "Исходная информация"))</f>
        <v>Инв. №: 16918</v>
      </c>
      <c r="F26" s="10"/>
      <c r="G26" s="10"/>
      <c r="H26" s="10"/>
    </row>
    <row r="27" spans="1:8" ht="13.5" customHeight="1" x14ac:dyDescent="0.25">
      <c r="A27" s="24" t="str">
        <f ca="1">"Периодичность ТО: " &amp; INDIRECT(ADDRESS(INT(ROUNDUP(((ROW())/6), 1)) + (2+'Исходная информация'!$N$4), 3, 1, 1, "Исходная информация"))</f>
        <v>Периодичность ТО: 12 мес</v>
      </c>
      <c r="B27" s="10"/>
      <c r="C27" s="11" t="str">
        <f ca="1">"Периодичность ТО: " &amp; INDIRECT(ADDRESS(INT(ROUNDUP(((ROW())/6), 1)) + (2+'Исходная информация'!$N$4), 3, 1, 1, "Исходная информация"))</f>
        <v>Периодичность ТО: 12 мес</v>
      </c>
      <c r="D27" s="7"/>
      <c r="E27" s="11" t="str">
        <f ca="1">"Периодичность ТО: " &amp; INDIRECT(ADDRESS(INT(ROUNDUP(((ROW())/6), 1)) + (2+'Исходная информация'!$N$4), 3, 1, 1, "Исходная информация"))</f>
        <v>Периодичность ТО: 12 мес</v>
      </c>
      <c r="F27" s="10"/>
      <c r="G27" s="10"/>
      <c r="H27" s="10"/>
    </row>
    <row r="28" spans="1:8" ht="13.5" customHeight="1" x14ac:dyDescent="0.25">
      <c r="A28" s="24" t="str">
        <f ca="1">"Проведено ТО: " &amp; INDIRECT(ADDRESS(INT(ROUNDUP(((ROW())/6), 1)) + (2+'Исходная информация'!$N$4), 4, 1, 1, "Исходная информация")) &amp; " " &amp; INDIRECT(ADDRESS(INT(ROUNDUP(((ROW())/6), 1)) + (2+'Исходная информация'!$N$4), 5, 1, 1, "Исходная информация")) &amp; " г."</f>
        <v>Проведено ТО: Июль 2026 г.</v>
      </c>
      <c r="B28" s="10"/>
      <c r="C28" s="11" t="str">
        <f ca="1">"Проведено ТО: " &amp; INDIRECT(ADDRESS(INT(ROUNDUP(((ROW())/6), 1)) + (2+'Исходная информация'!$N$4), 4, 1, 1, "Исходная информация")) &amp; " " &amp; INDIRECT(ADDRESS(INT(ROUNDUP(((ROW())/6), 1)) + (2+'Исходная информация'!$N$4), 5, 1, 1, "Исходная информация")) &amp; " г."</f>
        <v>Проведено ТО: Июль 2026 г.</v>
      </c>
      <c r="D28" s="7"/>
      <c r="E28" s="11" t="str">
        <f ca="1">"Проведено ТО: " &amp; INDIRECT(ADDRESS(INT(ROUNDUP(((ROW())/6), 1)) + (2+'Исходная информация'!$N$4), 4, 1, 1, "Исходная информация")) &amp; " " &amp; INDIRECT(ADDRESS(INT(ROUNDUP(((ROW())/6), 1)) + (2+'Исходная информация'!$N$4), 5, 1, 1, "Исходная информация")) &amp; " г."</f>
        <v>Проведено ТО: Июль 2026 г.</v>
      </c>
      <c r="F28" s="10"/>
      <c r="G28" s="10"/>
      <c r="H28" s="10"/>
    </row>
    <row r="29" spans="1:8" ht="13.5" customHeight="1" x14ac:dyDescent="0.25">
      <c r="A29" s="24" t="str">
        <f ca="1">"Следующее ТО: " &amp; INDIRECT(ADDRESS(INT(ROUNDUP(((ROW())/6), 1)) + (2+'Исходная информация'!$N$4), 9, 1, 1, "Исходная информация")) &amp; " " &amp; INDIRECT(ADDRESS(INT(ROUNDUP(((ROW())/6), 1)) + (2+'Исходная информация'!$N$4), 6, 1, 1, "Исходная информация")) &amp; " г."</f>
        <v>Следующее ТО: Январь 2027 г.</v>
      </c>
      <c r="B29" s="10"/>
      <c r="C29" s="11" t="str">
        <f ca="1">"Следующее ТО: " &amp; INDIRECT(ADDRESS(INT(ROUNDUP(((ROW())/6), 1)) + (2+'Исходная информация'!$N$4), 9, 1, 1, "Исходная информация")) &amp; " " &amp; INDIRECT(ADDRESS(INT(ROUNDUP(((ROW())/6), 1)) + (2+'Исходная информация'!$N$4), 6, 1, 1, "Исходная информация")) &amp; " г."</f>
        <v>Следующее ТО: Январь 2027 г.</v>
      </c>
      <c r="D29" s="7"/>
      <c r="E29" s="11" t="str">
        <f ca="1">"Следующее ТО: " &amp; INDIRECT(ADDRESS(INT(ROUNDUP(((ROW())/6), 1)) + (2+'Исходная информация'!$N$4), 4, 1, 1, "Исходная информация")) &amp; " " &amp; INDIRECT(ADDRESS(INT(ROUNDUP(((ROW())/6), 1)) + (2+'Исходная информация'!$N$4), 6, 1, 1, "Исходная информация")) &amp; " г."</f>
        <v>Следующее ТО: Июль 2027 г.</v>
      </c>
      <c r="F29" s="10"/>
      <c r="G29" s="10"/>
      <c r="H29" s="10"/>
    </row>
    <row r="30" spans="1:8" s="19" customFormat="1" ht="37.5" customHeight="1" x14ac:dyDescent="0.25">
      <c r="A30" s="25" t="str">
        <f ca="1">"Инженер ОЭиРМО: " &amp; INDIRECT(ADDRESS(INT(ROUNDUP(((ROW())/6), 1)) + (2+'Исходная информация'!$N$4), 7, 1, 1, "Исходная информация"))</f>
        <v>Инженер ОЭиРМО: Данилова К.И.</v>
      </c>
      <c r="B30" s="18"/>
      <c r="C30" s="14" t="str">
        <f ca="1">"Инженер ОЭиРМО: " &amp; INDIRECT(ADDRESS(INT(ROUNDUP(((ROW())/6), 1)) + (2+'Исходная информация'!$N$4), 7, 1, 1, "Исходная информация"))</f>
        <v>Инженер ОЭиРМО: Данилова К.И.</v>
      </c>
      <c r="D30" s="15"/>
      <c r="E30" s="14" t="str">
        <f ca="1">"Инженер ОЭиРМО: " &amp; INDIRECT(ADDRESS(INT(ROUNDUP(((ROW())/6), 1)) + (2+'Исходная информация'!$N$4), 7, 1, 1, "Исходная информация"))</f>
        <v>Инженер ОЭиРМО: Данилова К.И.</v>
      </c>
      <c r="F30" s="18"/>
      <c r="G30" s="18"/>
      <c r="H30" s="18"/>
    </row>
    <row r="31" spans="1:8" s="1" customFormat="1" ht="30.75" customHeight="1" x14ac:dyDescent="0.25">
      <c r="A31" s="23" t="str">
        <f ca="1">"Наименование: " &amp; INDIRECT(ADDRESS(INT(ROUNDUP(((ROW())/6), 1)) + (2+'Исходная информация'!$N$4), 1, 1, 1, "Исходная информация"))</f>
        <v xml:space="preserve">Наименование: Устройство для запаивания пакетов (390 Вт) </v>
      </c>
      <c r="B31" s="10"/>
      <c r="C31" s="6" t="str">
        <f ca="1">"Наименование: " &amp; INDIRECT(ADDRESS(INT(ROUNDUP(((ROW())/6), 1)) + (2+'Исходная информация'!$N$4), 1, 1, 1, "Исходная информация"))</f>
        <v xml:space="preserve">Наименование: Устройство для запаивания пакетов (390 Вт) </v>
      </c>
      <c r="D31" s="7"/>
      <c r="E31" s="6" t="str">
        <f ca="1">"Наименование: " &amp; INDIRECT(ADDRESS(INT(ROUNDUP(((ROW())/6), 1)) + (2+'Исходная информация'!$N$4), 1, 1, 1, "Исходная информация"))</f>
        <v xml:space="preserve">Наименование: Устройство для запаивания пакетов (390 Вт) </v>
      </c>
      <c r="F31" s="10"/>
      <c r="G31" s="10"/>
      <c r="H31" s="10"/>
    </row>
    <row r="32" spans="1:8" ht="13.5" customHeight="1" x14ac:dyDescent="0.25">
      <c r="A32" s="24" t="str">
        <f ca="1">"Инв. №: " &amp; INDIRECT(ADDRESS(INT(ROUNDUP(((ROW())/6), 1)) + (2+'Исходная информация'!$N$4), 2, 1, 1, "Исходная информация"))</f>
        <v>Инв. №: 27823</v>
      </c>
      <c r="B32" s="10"/>
      <c r="C32" s="11" t="str">
        <f ca="1">"Инв. №: " &amp; INDIRECT(ADDRESS(INT(ROUNDUP(((ROW())/6), 1)) + (2+'Исходная информация'!$N$4), 2, 1, 1, "Исходная информация"))</f>
        <v>Инв. №: 27823</v>
      </c>
      <c r="D32" s="7"/>
      <c r="E32" s="11" t="str">
        <f ca="1">"Инв. №: " &amp; INDIRECT(ADDRESS(INT(ROUNDUP(((ROW())/6), 1)) + (2+'Исходная информация'!$N$4), 2, 1, 1, "Исходная информация"))</f>
        <v>Инв. №: 27823</v>
      </c>
      <c r="F32" s="10"/>
      <c r="G32" s="10"/>
      <c r="H32" s="10"/>
    </row>
    <row r="33" spans="1:8" ht="13.5" customHeight="1" x14ac:dyDescent="0.25">
      <c r="A33" s="24" t="str">
        <f ca="1">"Периодичность ТО: " &amp; INDIRECT(ADDRESS(INT(ROUNDUP(((ROW())/6), 1)) + (2+'Исходная информация'!$N$4), 3, 1, 1, "Исходная информация"))</f>
        <v>Периодичность ТО: 12 мес</v>
      </c>
      <c r="B33" s="10"/>
      <c r="C33" s="11" t="str">
        <f ca="1">"Периодичность ТО: " &amp; INDIRECT(ADDRESS(INT(ROUNDUP(((ROW())/6), 1)) + (2+'Исходная информация'!$N$4), 3, 1, 1, "Исходная информация"))</f>
        <v>Периодичность ТО: 12 мес</v>
      </c>
      <c r="D33" s="7"/>
      <c r="E33" s="11" t="str">
        <f ca="1">"Периодичность ТО: " &amp; INDIRECT(ADDRESS(INT(ROUNDUP(((ROW())/6), 1)) + (2+'Исходная информация'!$N$4), 3, 1, 1, "Исходная информация"))</f>
        <v>Периодичность ТО: 12 мес</v>
      </c>
      <c r="F33" s="10"/>
      <c r="G33" s="10"/>
      <c r="H33" s="10"/>
    </row>
    <row r="34" spans="1:8" ht="13.5" customHeight="1" x14ac:dyDescent="0.25">
      <c r="A34" s="24" t="str">
        <f ca="1">"Проведено ТО: " &amp; INDIRECT(ADDRESS(INT(ROUNDUP(((ROW())/6), 1)) + (2+'Исходная информация'!$N$4), 4, 1, 1, "Исходная информация")) &amp; " " &amp; INDIRECT(ADDRESS(INT(ROUNDUP(((ROW())/6), 1)) + (2+'Исходная информация'!$N$4), 5, 1, 1, "Исходная информация")) &amp; " г."</f>
        <v>Проведено ТО: Июль 2026 г.</v>
      </c>
      <c r="B34" s="10"/>
      <c r="C34" s="11" t="str">
        <f ca="1">"Проведено ТО: " &amp; INDIRECT(ADDRESS(INT(ROUNDUP(((ROW())/6), 1)) + (2+'Исходная информация'!$N$4), 4, 1, 1, "Исходная информация")) &amp; " " &amp; INDIRECT(ADDRESS(INT(ROUNDUP(((ROW())/6), 1)) + (2+'Исходная информация'!$N$4), 5, 1, 1, "Исходная информация")) &amp; " г."</f>
        <v>Проведено ТО: Июль 2026 г.</v>
      </c>
      <c r="D34" s="7"/>
      <c r="E34" s="11" t="str">
        <f ca="1">"Проведено ТО: " &amp; INDIRECT(ADDRESS(INT(ROUNDUP(((ROW())/6), 1)) + (2+'Исходная информация'!$N$4), 4, 1, 1, "Исходная информация")) &amp; " " &amp; INDIRECT(ADDRESS(INT(ROUNDUP(((ROW())/6), 1)) + (2+'Исходная информация'!$N$4), 5, 1, 1, "Исходная информация")) &amp; " г."</f>
        <v>Проведено ТО: Июль 2026 г.</v>
      </c>
      <c r="F34" s="10"/>
      <c r="G34" s="10"/>
      <c r="H34" s="10"/>
    </row>
    <row r="35" spans="1:8" ht="13.5" customHeight="1" x14ac:dyDescent="0.25">
      <c r="A35" s="24" t="str">
        <f ca="1">"Следующее ТО: " &amp; INDIRECT(ADDRESS(INT(ROUNDUP(((ROW())/6), 1)) + (2+'Исходная информация'!$N$4), 9, 1, 1, "Исходная информация")) &amp; " " &amp; INDIRECT(ADDRESS(INT(ROUNDUP(((ROW())/6), 1)) + (2+'Исходная информация'!$N$4), 6, 1, 1, "Исходная информация")) &amp; " г."</f>
        <v>Следующее ТО: Февраль 2027 г.</v>
      </c>
      <c r="B35" s="10"/>
      <c r="C35" s="11" t="str">
        <f ca="1">"Следующее ТО: " &amp; INDIRECT(ADDRESS(INT(ROUNDUP(((ROW())/6), 1)) + (2+'Исходная информация'!$N$4), 9, 1, 1, "Исходная информация")) &amp; " " &amp; INDIRECT(ADDRESS(INT(ROUNDUP(((ROW())/6), 1)) + (2+'Исходная информация'!$N$4), 6, 1, 1, "Исходная информация")) &amp; " г."</f>
        <v>Следующее ТО: Февраль 2027 г.</v>
      </c>
      <c r="D35" s="7"/>
      <c r="E35" s="11" t="str">
        <f ca="1">"Следующее ТО: " &amp; INDIRECT(ADDRESS(INT(ROUNDUP(((ROW())/6), 1)) + (2+'Исходная информация'!$N$4), 4, 1, 1, "Исходная информация")) &amp; " " &amp; INDIRECT(ADDRESS(INT(ROUNDUP(((ROW())/6), 1)) + (2+'Исходная информация'!$N$4), 6, 1, 1, "Исходная информация")) &amp; " г."</f>
        <v>Следующее ТО: Июль 2027 г.</v>
      </c>
      <c r="F35" s="10"/>
      <c r="G35" s="10"/>
      <c r="H35" s="10"/>
    </row>
    <row r="36" spans="1:8" s="19" customFormat="1" ht="22.5" customHeight="1" x14ac:dyDescent="0.25">
      <c r="A36" s="25" t="str">
        <f ca="1">"Инженер ОЭиРМО: " &amp; INDIRECT(ADDRESS(INT(ROUNDUP(((ROW())/6), 1)) + (2+'Исходная информация'!$N$4), 7, 1, 1, "Исходная информация"))</f>
        <v>Инженер ОЭиРМО: Данилова К.И.</v>
      </c>
      <c r="B36" s="18"/>
      <c r="C36" s="14" t="str">
        <f ca="1">"Инженер ОЭиРМО: " &amp; INDIRECT(ADDRESS(INT(ROUNDUP(((ROW())/6), 1)) + (2+'Исходная информация'!$N$4), 7, 1, 1, "Исходная информация"))</f>
        <v>Инженер ОЭиРМО: Данилова К.И.</v>
      </c>
      <c r="D36" s="15"/>
      <c r="E36" s="14" t="str">
        <f ca="1">"Инженер ОЭиРМО: " &amp; INDIRECT(ADDRESS(INT(ROUNDUP(((ROW())/6), 1)) + (2+'Исходная информация'!$N$4), 7, 1, 1, "Исходная информация"))</f>
        <v>Инженер ОЭиРМО: Данилова К.И.</v>
      </c>
      <c r="F36" s="18"/>
      <c r="G36" s="18"/>
      <c r="H36" s="18"/>
    </row>
    <row r="37" spans="1:8" s="1" customFormat="1" ht="30.75" customHeight="1" x14ac:dyDescent="0.25">
      <c r="A37" s="23" t="str">
        <f ca="1">"Наименование: " &amp; INDIRECT(ADDRESS(INT(ROUNDUP(((ROW())/6), 1)) + (2+'Исходная информация'!$N$4), 1, 1, 1, "Исходная информация"))</f>
        <v xml:space="preserve">Наименование: аппарат  высокочастотный электрохирургический </v>
      </c>
      <c r="B37" s="10"/>
      <c r="C37" s="6" t="str">
        <f ca="1">"Наименование: " &amp; INDIRECT(ADDRESS(INT(ROUNDUP(((ROW())/6), 1)) + (2+'Исходная информация'!$N$4), 1, 1, 1, "Исходная информация"))</f>
        <v xml:space="preserve">Наименование: аппарат  высокочастотный электрохирургический </v>
      </c>
      <c r="D37" s="7"/>
      <c r="E37" s="6" t="str">
        <f ca="1">"Наименование: " &amp; INDIRECT(ADDRESS(INT(ROUNDUP(((ROW())/6), 1)) + (2+'Исходная информация'!$N$4), 1, 1, 1, "Исходная информация"))</f>
        <v xml:space="preserve">Наименование: аппарат  высокочастотный электрохирургический </v>
      </c>
      <c r="F37" s="10"/>
      <c r="G37" s="10"/>
      <c r="H37" s="10"/>
    </row>
    <row r="38" spans="1:8" ht="13.5" customHeight="1" x14ac:dyDescent="0.25">
      <c r="A38" s="24" t="str">
        <f ca="1">"Инв. №: " &amp; INDIRECT(ADDRESS(INT(ROUNDUP(((ROW())/6), 1)) + (2+'Исходная информация'!$N$4), 2, 1, 1, "Исходная информация"))</f>
        <v>Инв. №: 000410124.04.80191719</v>
      </c>
      <c r="B38" s="10"/>
      <c r="C38" s="11" t="str">
        <f ca="1">"Инв. №: " &amp; INDIRECT(ADDRESS(INT(ROUNDUP(((ROW())/6), 1)) + (2+'Исходная информация'!$N$4), 2, 1, 1, "Исходная информация"))</f>
        <v>Инв. №: 000410124.04.80191719</v>
      </c>
      <c r="D38" s="7"/>
      <c r="E38" s="11" t="str">
        <f ca="1">"Инв. №: " &amp; INDIRECT(ADDRESS(INT(ROUNDUP(((ROW())/6), 1)) + (2+'Исходная информация'!$N$4), 2, 1, 1, "Исходная информация"))</f>
        <v>Инв. №: 000410124.04.80191719</v>
      </c>
      <c r="F38" s="10"/>
      <c r="G38" s="10"/>
      <c r="H38" s="10"/>
    </row>
    <row r="39" spans="1:8" ht="13.5" customHeight="1" x14ac:dyDescent="0.25">
      <c r="A39" s="24" t="str">
        <f ca="1">"Периодичность ТО: " &amp; INDIRECT(ADDRESS(INT(ROUNDUP(((ROW())/6), 1)) + (2+'Исходная информация'!$N$4), 3, 1, 1, "Исходная информация"))</f>
        <v>Периодичность ТО: 12 мес</v>
      </c>
      <c r="B39" s="10"/>
      <c r="C39" s="11" t="str">
        <f ca="1">"Периодичность ТО: " &amp; INDIRECT(ADDRESS(INT(ROUNDUP(((ROW())/6), 1)) + (2+'Исходная информация'!$N$4), 3, 1, 1, "Исходная информация"))</f>
        <v>Периодичность ТО: 12 мес</v>
      </c>
      <c r="D39" s="7"/>
      <c r="E39" s="11" t="str">
        <f ca="1">"Периодичность ТО: " &amp; INDIRECT(ADDRESS(INT(ROUNDUP(((ROW())/6), 1)) + (2+'Исходная информация'!$N$4), 3, 1, 1, "Исходная информация"))</f>
        <v>Периодичность ТО: 12 мес</v>
      </c>
      <c r="F39" s="10"/>
      <c r="G39" s="10"/>
      <c r="H39" s="10"/>
    </row>
    <row r="40" spans="1:8" ht="13.5" customHeight="1" x14ac:dyDescent="0.25">
      <c r="A40" s="24" t="str">
        <f ca="1">"Проведено ТО: " &amp; INDIRECT(ADDRESS(INT(ROUNDUP(((ROW())/6), 1)) + (2+'Исходная информация'!$N$4), 4, 1, 1, "Исходная информация")) &amp; " " &amp; INDIRECT(ADDRESS(INT(ROUNDUP(((ROW())/6), 1)) + (2+'Исходная информация'!$N$4), 5, 1, 1, "Исходная информация")) &amp; " г."</f>
        <v>Проведено ТО: Июль 2026 г.</v>
      </c>
      <c r="B40" s="10"/>
      <c r="C40" s="11" t="str">
        <f ca="1">"Проведено ТО: " &amp; INDIRECT(ADDRESS(INT(ROUNDUP(((ROW())/6), 1)) + (2+'Исходная информация'!$N$4), 4, 1, 1, "Исходная информация")) &amp; " " &amp; INDIRECT(ADDRESS(INT(ROUNDUP(((ROW())/6), 1)) + (2+'Исходная информация'!$N$4), 5, 1, 1, "Исходная информация")) &amp; " г."</f>
        <v>Проведено ТО: Июль 2026 г.</v>
      </c>
      <c r="D40" s="7"/>
      <c r="E40" s="11" t="str">
        <f ca="1">"Проведено ТО: " &amp; INDIRECT(ADDRESS(INT(ROUNDUP(((ROW())/6), 1)) + (2+'Исходная информация'!$N$4), 4, 1, 1, "Исходная информация")) &amp; " " &amp; INDIRECT(ADDRESS(INT(ROUNDUP(((ROW())/6), 1)) + (2+'Исходная информация'!$N$4), 5, 1, 1, "Исходная информация")) &amp; " г."</f>
        <v>Проведено ТО: Июль 2026 г.</v>
      </c>
      <c r="F40" s="10"/>
      <c r="G40" s="10"/>
      <c r="H40" s="10"/>
    </row>
    <row r="41" spans="1:8" ht="13.5" customHeight="1" x14ac:dyDescent="0.25">
      <c r="A41" s="24" t="str">
        <f ca="1">"Следующее ТО: " &amp; INDIRECT(ADDRESS(INT(ROUNDUP(((ROW())/6), 1)) + (2+'Исходная информация'!$N$4), 9, 1, 1, "Исходная информация")) &amp; " " &amp; INDIRECT(ADDRESS(INT(ROUNDUP(((ROW())/6), 1)) + (2+'Исходная информация'!$N$4), 6, 1, 1, "Исходная информация")) &amp; " г."</f>
        <v>Следующее ТО: Март 2027 г.</v>
      </c>
      <c r="B41" s="10"/>
      <c r="C41" s="11" t="str">
        <f ca="1">"Следующее ТО: " &amp; INDIRECT(ADDRESS(INT(ROUNDUP(((ROW())/6), 1)) + (2+'Исходная информация'!$N$4), 9, 1, 1, "Исходная информация")) &amp; " " &amp; INDIRECT(ADDRESS(INT(ROUNDUP(((ROW())/6), 1)) + (2+'Исходная информация'!$N$4), 6, 1, 1, "Исходная информация")) &amp; " г."</f>
        <v>Следующее ТО: Март 2027 г.</v>
      </c>
      <c r="D41" s="7"/>
      <c r="E41" s="11" t="str">
        <f ca="1">"Следующее ТО: " &amp; INDIRECT(ADDRESS(INT(ROUNDUP(((ROW())/6), 1)) + (2+'Исходная информация'!$N$4), 4, 1, 1, "Исходная информация")) &amp; " " &amp; INDIRECT(ADDRESS(INT(ROUNDUP(((ROW())/6), 1)) + (2+'Исходная информация'!$N$4), 6, 1, 1, "Исходная информация")) &amp; " г."</f>
        <v>Следующее ТО: Июль 2027 г.</v>
      </c>
      <c r="F41" s="10"/>
      <c r="G41" s="10"/>
      <c r="H41" s="10"/>
    </row>
    <row r="42" spans="1:8" s="19" customFormat="1" ht="23.25" customHeight="1" x14ac:dyDescent="0.25">
      <c r="A42" s="25" t="str">
        <f ca="1">"Инженер ОЭиРМО: " &amp; INDIRECT(ADDRESS(INT(ROUNDUP(((ROW())/6), 1)) + (2+'Исходная информация'!$N$4), 7, 1, 1, "Исходная информация"))</f>
        <v>Инженер ОЭиРМО: Данилова К.И.</v>
      </c>
      <c r="B42" s="18"/>
      <c r="C42" s="14" t="str">
        <f ca="1">"Инженер ОЭиРМО: " &amp; INDIRECT(ADDRESS(INT(ROUNDUP(((ROW())/6), 1)) + (2+'Исходная информация'!$N$4), 7, 1, 1, "Исходная информация"))</f>
        <v>Инженер ОЭиРМО: Данилова К.И.</v>
      </c>
      <c r="D42" s="15"/>
      <c r="E42" s="14" t="str">
        <f ca="1">"Инженер ОЭиРМО: " &amp; INDIRECT(ADDRESS(INT(ROUNDUP(((ROW())/6), 1)) + (2+'Исходная информация'!$N$4), 7, 1, 1, "Исходная информация"))</f>
        <v>Инженер ОЭиРМО: Данилова К.И.</v>
      </c>
      <c r="F42" s="18"/>
      <c r="G42" s="18"/>
      <c r="H42" s="18"/>
    </row>
    <row r="43" spans="1:8" s="1" customFormat="1" ht="30.75" customHeight="1" x14ac:dyDescent="0.25">
      <c r="A43" s="23" t="str">
        <f ca="1">"Наименование: " &amp; INDIRECT(ADDRESS(INT(ROUNDUP(((ROW())/6), 1)) + (2+'Исходная информация'!$N$4), 1, 1, 1, "Исходная информация"))</f>
        <v>Наименование: видеоэндоскопический комплект HAMOU ENDOMAT</v>
      </c>
      <c r="B43" s="10"/>
      <c r="C43" s="6" t="str">
        <f ca="1">"Наименование: " &amp; INDIRECT(ADDRESS(INT(ROUNDUP(((ROW())/6), 1)) + (2+'Исходная информация'!$N$4), 1, 1, 1, "Исходная информация"))</f>
        <v>Наименование: видеоэндоскопический комплект HAMOU ENDOMAT</v>
      </c>
      <c r="D43" s="7"/>
      <c r="E43" s="6" t="str">
        <f ca="1">"Наименование: " &amp; INDIRECT(ADDRESS(INT(ROUNDUP(((ROW())/6), 1)) + (2+'Исходная информация'!$N$4), 1, 1, 1, "Исходная информация"))</f>
        <v>Наименование: видеоэндоскопический комплект HAMOU ENDOMAT</v>
      </c>
      <c r="F43" s="10"/>
      <c r="G43" s="10"/>
      <c r="H43" s="10"/>
    </row>
    <row r="44" spans="1:8" ht="13.5" customHeight="1" x14ac:dyDescent="0.25">
      <c r="A44" s="24" t="str">
        <f ca="1">"Инв. №: " &amp; INDIRECT(ADDRESS(INT(ROUNDUP(((ROW())/6), 1)) + (2+'Исходная информация'!$N$4), 2, 1, 1, "Исходная информация"))</f>
        <v>Инв. №: 000410124.04.80191741</v>
      </c>
      <c r="B44" s="10"/>
      <c r="C44" s="11" t="str">
        <f ca="1">"Инв. №: " &amp; INDIRECT(ADDRESS(INT(ROUNDUP(((ROW())/6), 1)) + (2+'Исходная информация'!$N$4), 2, 1, 1, "Исходная информация"))</f>
        <v>Инв. №: 000410124.04.80191741</v>
      </c>
      <c r="D44" s="7"/>
      <c r="E44" s="11" t="str">
        <f ca="1">"Инв. №: " &amp; INDIRECT(ADDRESS(INT(ROUNDUP(((ROW())/6), 1)) + (2+'Исходная информация'!$N$4), 2, 1, 1, "Исходная информация"))</f>
        <v>Инв. №: 000410124.04.80191741</v>
      </c>
      <c r="F44" s="10"/>
      <c r="G44" s="10"/>
      <c r="H44" s="10"/>
    </row>
    <row r="45" spans="1:8" ht="13.5" customHeight="1" x14ac:dyDescent="0.25">
      <c r="A45" s="24" t="str">
        <f ca="1">"Периодичность ТО: " &amp; INDIRECT(ADDRESS(INT(ROUNDUP(((ROW())/6), 1)) + (2+'Исходная информация'!$N$4), 3, 1, 1, "Исходная информация"))</f>
        <v>Периодичность ТО: 12 мес</v>
      </c>
      <c r="B45" s="10"/>
      <c r="C45" s="11" t="str">
        <f ca="1">"Периодичность ТО: " &amp; INDIRECT(ADDRESS(INT(ROUNDUP(((ROW())/6), 1)) + (2+'Исходная информация'!$N$4), 3, 1, 1, "Исходная информация"))</f>
        <v>Периодичность ТО: 12 мес</v>
      </c>
      <c r="D45" s="7"/>
      <c r="E45" s="11" t="str">
        <f ca="1">"Периодичность ТО: " &amp; INDIRECT(ADDRESS(INT(ROUNDUP(((ROW())/6), 1)) + (2+'Исходная информация'!$N$4), 3, 1, 1, "Исходная информация"))</f>
        <v>Периодичность ТО: 12 мес</v>
      </c>
      <c r="F45" s="10"/>
      <c r="G45" s="10"/>
      <c r="H45" s="10"/>
    </row>
    <row r="46" spans="1:8" ht="13.5" customHeight="1" x14ac:dyDescent="0.25">
      <c r="A46" s="24" t="str">
        <f ca="1">"Проведено ТО: " &amp; INDIRECT(ADDRESS(INT(ROUNDUP(((ROW())/6), 1)) + (2+'Исходная информация'!$N$4), 4, 1, 1, "Исходная информация")) &amp; " " &amp; INDIRECT(ADDRESS(INT(ROUNDUP(((ROW())/6), 1)) + (2+'Исходная информация'!$N$4), 5, 1, 1, "Исходная информация")) &amp; " г."</f>
        <v>Проведено ТО: Июль 2026 г.</v>
      </c>
      <c r="B46" s="10"/>
      <c r="C46" s="11" t="str">
        <f ca="1">"Проведено ТО: " &amp; INDIRECT(ADDRESS(INT(ROUNDUP(((ROW())/6), 1)) + (2+'Исходная информация'!$N$4), 4, 1, 1, "Исходная информация")) &amp; " " &amp; INDIRECT(ADDRESS(INT(ROUNDUP(((ROW())/6), 1)) + (2+'Исходная информация'!$N$4), 5, 1, 1, "Исходная информация")) &amp; " г."</f>
        <v>Проведено ТО: Июль 2026 г.</v>
      </c>
      <c r="D46" s="7"/>
      <c r="E46" s="11" t="str">
        <f ca="1">"Проведено ТО: " &amp; INDIRECT(ADDRESS(INT(ROUNDUP(((ROW())/6), 1)) + (2+'Исходная информация'!$N$4), 4, 1, 1, "Исходная информация")) &amp; " " &amp; INDIRECT(ADDRESS(INT(ROUNDUP(((ROW())/6), 1)) + (2+'Исходная информация'!$N$4), 5, 1, 1, "Исходная информация")) &amp; " г."</f>
        <v>Проведено ТО: Июль 2026 г.</v>
      </c>
      <c r="F46" s="10"/>
      <c r="G46" s="10"/>
      <c r="H46" s="10"/>
    </row>
    <row r="47" spans="1:8" ht="13.5" customHeight="1" x14ac:dyDescent="0.25">
      <c r="A47" s="24" t="str">
        <f ca="1">"Следующее ТО: " &amp; INDIRECT(ADDRESS(INT(ROUNDUP(((ROW())/6), 1)) + (2+'Исходная информация'!$N$4), 9, 1, 1, "Исходная информация")) &amp; " " &amp; INDIRECT(ADDRESS(INT(ROUNDUP(((ROW())/6), 1)) + (2+'Исходная информация'!$N$4), 6, 1, 1, "Исходная информация")) &amp; " г."</f>
        <v>Следующее ТО: Апрель 2027 г.</v>
      </c>
      <c r="B47" s="10"/>
      <c r="C47" s="11" t="str">
        <f ca="1">"Следующее ТО: " &amp; INDIRECT(ADDRESS(INT(ROUNDUP(((ROW())/6), 1)) + (2+'Исходная информация'!$N$4), 9, 1, 1, "Исходная информация")) &amp; " " &amp; INDIRECT(ADDRESS(INT(ROUNDUP(((ROW())/6), 1)) + (2+'Исходная информация'!$N$4), 6, 1, 1, "Исходная информация")) &amp; " г."</f>
        <v>Следующее ТО: Апрель 2027 г.</v>
      </c>
      <c r="D47" s="7"/>
      <c r="E47" s="11" t="str">
        <f ca="1">"Следующее ТО: " &amp; INDIRECT(ADDRESS(INT(ROUNDUP(((ROW())/6), 1)) + (2+'Исходная информация'!$N$4), 4, 1, 1, "Исходная информация")) &amp; " " &amp; INDIRECT(ADDRESS(INT(ROUNDUP(((ROW())/6), 1)) + (2+'Исходная информация'!$N$4), 6, 1, 1, "Исходная информация")) &amp; " г."</f>
        <v>Следующее ТО: Июль 2027 г.</v>
      </c>
      <c r="F47" s="10"/>
      <c r="G47" s="10"/>
      <c r="H47" s="10"/>
    </row>
    <row r="48" spans="1:8" s="19" customFormat="1" ht="19.5" customHeight="1" x14ac:dyDescent="0.25">
      <c r="A48" s="25" t="str">
        <f ca="1">"Инженер ОЭиРМО: " &amp; INDIRECT(ADDRESS(INT(ROUNDUP(((ROW())/6), 1)) + (2+'Исходная информация'!$N$4), 7, 1, 1, "Исходная информация"))</f>
        <v>Инженер ОЭиРМО: Данилова К.И.</v>
      </c>
      <c r="B48" s="18"/>
      <c r="C48" s="14" t="str">
        <f ca="1">"Инженер ОЭиРМО: " &amp; INDIRECT(ADDRESS(INT(ROUNDUP(((ROW())/6), 1)) + (2+'Исходная информация'!$N$4), 7, 1, 1, "Исходная информация"))</f>
        <v>Инженер ОЭиРМО: Данилова К.И.</v>
      </c>
      <c r="D48" s="15"/>
      <c r="E48" s="14" t="str">
        <f ca="1">"Инженер ОЭиРМО: " &amp; INDIRECT(ADDRESS(INT(ROUNDUP(((ROW())/6), 1)) + (2+'Исходная информация'!$N$4), 7, 1, 1, "Исходная информация"))</f>
        <v>Инженер ОЭиРМО: Данилова К.И.</v>
      </c>
      <c r="F48" s="18"/>
      <c r="G48" s="18"/>
      <c r="H48" s="18"/>
    </row>
    <row r="49" spans="1:8" x14ac:dyDescent="0.25">
      <c r="A49" s="10"/>
      <c r="B49" s="10"/>
      <c r="C49" s="20"/>
      <c r="D49" s="10"/>
      <c r="E49" s="20"/>
      <c r="F49" s="10"/>
      <c r="G49" s="10"/>
      <c r="H49" s="10"/>
    </row>
    <row r="50" spans="1:8" x14ac:dyDescent="0.25">
      <c r="A50" s="10"/>
      <c r="B50" s="10"/>
      <c r="C50" s="20"/>
      <c r="D50" s="10"/>
      <c r="E50" s="20"/>
      <c r="F50" s="10"/>
      <c r="G50" s="10"/>
      <c r="H50" s="10"/>
    </row>
    <row r="51" spans="1:8" x14ac:dyDescent="0.25">
      <c r="A51" s="10"/>
      <c r="B51" s="10"/>
      <c r="C51" s="20"/>
      <c r="D51" s="10"/>
      <c r="E51" s="20"/>
      <c r="F51" s="10"/>
      <c r="G51" s="10"/>
      <c r="H51" s="10"/>
    </row>
    <row r="52" spans="1:8" x14ac:dyDescent="0.25">
      <c r="A52" s="10"/>
      <c r="B52" s="10"/>
      <c r="C52" s="20"/>
      <c r="D52" s="10"/>
      <c r="E52" s="20"/>
      <c r="F52" s="10"/>
      <c r="G52" s="10"/>
      <c r="H52" s="10"/>
    </row>
    <row r="53" spans="1:8" x14ac:dyDescent="0.25">
      <c r="A53" s="10"/>
      <c r="B53" s="10"/>
      <c r="C53" s="20"/>
      <c r="D53" s="10"/>
      <c r="E53" s="20"/>
      <c r="F53" s="10"/>
      <c r="G53" s="10"/>
      <c r="H53" s="10"/>
    </row>
    <row r="54" spans="1:8" x14ac:dyDescent="0.25">
      <c r="A54" s="10"/>
      <c r="B54" s="10"/>
      <c r="C54" s="20"/>
      <c r="D54" s="10"/>
      <c r="E54" s="20"/>
      <c r="F54" s="10"/>
      <c r="G54" s="10"/>
      <c r="H54" s="10"/>
    </row>
  </sheetData>
  <printOptions horizontalCentered="1" verticalCentered="1"/>
  <pageMargins left="0" right="0" top="0" bottom="0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2</vt:i4>
      </vt:variant>
    </vt:vector>
  </HeadingPairs>
  <TitlesOfParts>
    <vt:vector size="6" baseType="lpstr">
      <vt:lpstr>Исходная информация (2)</vt:lpstr>
      <vt:lpstr>Исходная информация</vt:lpstr>
      <vt:lpstr>Первые 24</vt:lpstr>
      <vt:lpstr>BUG</vt:lpstr>
      <vt:lpstr>BUG!Область_печати</vt:lpstr>
      <vt:lpstr>'Первые 24'!Область_печати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Данилова Ксения Игоревна</cp:lastModifiedBy>
  <cp:revision>13</cp:revision>
  <dcterms:created xsi:type="dcterms:W3CDTF">2006-09-16T00:00:00Z</dcterms:created>
  <dcterms:modified xsi:type="dcterms:W3CDTF">2026-06-19T07:16:22Z</dcterms:modified>
  <dc:language>ru-RU</dc:language>
</cp:coreProperties>
</file>